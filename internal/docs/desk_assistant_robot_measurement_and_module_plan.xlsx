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6ddfd8513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Measurements" sheetId="1" r:id="Rf079d6360364483c"/>
    <x:sheet xmlns:r="http://schemas.openxmlformats.org/officeDocument/2006/relationships" name="2_Derived_Decided" sheetId="2" r:id="Ra06caa98b5cf41e8"/>
    <x:sheet xmlns:r="http://schemas.openxmlformats.org/officeDocument/2006/relationships" name="3_Main_Chassis" sheetId="3" r:id="R882e7068e5e74673"/>
    <x:sheet xmlns:r="http://schemas.openxmlformats.org/officeDocument/2006/relationships" name="4_Head_Face" sheetId="4" r:id="R52cc02074ff84532"/>
    <x:sheet xmlns:r="http://schemas.openxmlformats.org/officeDocument/2006/relationships" name="5_Front_Sensor" sheetId="5" r:id="R168aa60ca0894080"/>
    <x:sheet xmlns:r="http://schemas.openxmlformats.org/officeDocument/2006/relationships" name="6_Edge_Sensor" sheetId="6" r:id="R4e4ebcb665f3411e"/>
    <x:sheet xmlns:r="http://schemas.openxmlformats.org/officeDocument/2006/relationships" name="7_Left_Arm" sheetId="7" r:id="Rd48547c29c4a4048"/>
    <x:sheet xmlns:r="http://schemas.openxmlformats.org/officeDocument/2006/relationships" name="8_Right_Arm" sheetId="8" r:id="R8c0916292c0545d1"/>
    <x:sheet xmlns:r="http://schemas.openxmlformats.org/officeDocument/2006/relationships" name="9_Final_Attachment_Map" sheetId="9" r:id="Rde6169e7a807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9"/>
      <x:color rgb="FF1E3A8A"/>
      <x:name val="Carlito"/>
    </x:font>
    <x:font>
      <x:b/>
      <x:sz val="10"/>
      <x:color rgb="FFFFFFFF"/>
      <x:name val="Carlito"/>
    </x:font>
    <x:font>
      <x:sz val="9"/>
      <x:color rgb="FF374151"/>
      <x:name val="Carlito"/>
    </x:font>
    <x:font>
      <x:sz val="10"/>
      <x:color rgb="FF111827"/>
      <x:name val="Carlito"/>
    </x:font>
    <x:font>
      <x:b/>
      <x:sz val="11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FF6FF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  <x:fill>
      <x:patternFill patternType="solid">
        <x:fgColor rgb="FFFFF7ED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f1371860547f1" /><Relationship Type="http://schemas.openxmlformats.org/officeDocument/2006/relationships/theme" Target="/xl/theme/theme1.xml" Id="Rc49faca70f7a4158" /><Relationship Type="http://schemas.openxmlformats.org/officeDocument/2006/relationships/sharedStrings" Target="/xl/sharedStrings.xml" Id="R8a6ac584980b4c4e" /><Relationship Type="http://schemas.openxmlformats.org/officeDocument/2006/relationships/worksheet" Target="/xl/worksheets/sheet1.xml" Id="Rf079d6360364483c" /><Relationship Type="http://schemas.openxmlformats.org/officeDocument/2006/relationships/worksheet" Target="/xl/worksheets/sheet2.xml" Id="Ra06caa98b5cf41e8" /><Relationship Type="http://schemas.openxmlformats.org/officeDocument/2006/relationships/worksheet" Target="/xl/worksheets/sheet3.xml" Id="R882e7068e5e74673" /><Relationship Type="http://schemas.openxmlformats.org/officeDocument/2006/relationships/worksheet" Target="/xl/worksheets/sheet4.xml" Id="R52cc02074ff84532" /><Relationship Type="http://schemas.openxmlformats.org/officeDocument/2006/relationships/worksheet" Target="/xl/worksheets/sheet5.xml" Id="R168aa60ca0894080" /><Relationship Type="http://schemas.openxmlformats.org/officeDocument/2006/relationships/worksheet" Target="/xl/worksheets/sheet6.xml" Id="R4e4ebcb665f3411e" /><Relationship Type="http://schemas.openxmlformats.org/officeDocument/2006/relationships/worksheet" Target="/xl/worksheets/sheet7.xml" Id="Rd48547c29c4a4048" /><Relationship Type="http://schemas.openxmlformats.org/officeDocument/2006/relationships/worksheet" Target="/xl/worksheets/sheet8.xml" Id="R8c0916292c0545d1" /><Relationship Type="http://schemas.openxmlformats.org/officeDocument/2006/relationships/worksheet" Target="/xl/worksheets/sheet9.xml" Id="Rde6169e7a80740b5" /></Relationships>
</file>

<file path=xl/tables/table1.xml><?xml version="1.0" encoding="utf-8"?>
<x:table xmlns:x="http://schemas.openxmlformats.org/spreadsheetml/2006/main" id="1" name="MeasurementsTable" displayName="MeasurementsTable" ref="A4:I118" headerRowCount="1" totalsRowCount="0" totalsRowShown="0">
  <x:tableColumns count="9">
    <x:tableColumn id="1" name="Module"/>
    <x:tableColumn id="2" name="Component"/>
    <x:tableColumn id="3" name="Parameter to measure"/>
    <x:tableColumn id="4" name="What exactly to capture"/>
    <x:tableColumn id="5" name="Value"/>
    <x:tableColumn id="6" name="Unit"/>
    <x:tableColumn id="7" name="Reference / datum"/>
    <x:tableColumn id="8" name="Recommended measurement method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rivedDecidedTable" displayName="DerivedDecidedTable" ref="A4:I47" headerRowCount="1" totalsRowCount="0" totalsRowShown="0">
  <x:tableColumns count="9">
    <x:tableColumn id="1" name="Category"/>
    <x:tableColumn id="2" name="Parameter"/>
    <x:tableColumn id="3" name="Type"/>
    <x:tableColumn id="4" name="Value"/>
    <x:tableColumn id="5" name="Unit"/>
    <x:tableColumn id="6" name="Depends on / input"/>
    <x:tableColumn id="7" name="How to derive / decide"/>
    <x:tableColumn id="8" name="Final-model intent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nChassisTable" displayName="MainChassisTable" ref="A4:I16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dFaceTable" displayName="HeadFaceTable" ref="A4:I8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ontSensorTable" displayName="FrontSensorTable" ref="A4:I5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dgeSensorTable" displayName="EdgeSensorTable" ref="A4:I7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ftArmTable" displayName="LeftArmTable" ref="A4:I6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ightArmTable" displayName="RightArmTable" ref="A4:I6" headerRowCount="1" totalsRowCount="0" totalsRowShown="0">
  <x:tableColumns count="9">
    <x:tableColumn id="1" name="Component"/>
    <x:tableColumn id="2" name="Placement / role"/>
    <x:tableColumn id="3" name="Local X"/>
    <x:tableColumn id="4" name="Local Y"/>
    <x:tableColumn id="5" name="Local Z"/>
    <x:tableColumn id="6" name="Orientation"/>
    <x:tableColumn id="7" name="Mounting / interface"/>
    <x:tableColumn id="8" name="Keep-out / clearance"/>
    <x:tableColumn id="9" name="Cable / service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alAttachmentTable" displayName="FinalAttachmentTable" ref="A4:I10" headerRowCount="1" totalsRowCount="0" totalsRowShown="0">
  <x:tableColumns count="9">
    <x:tableColumn id="1" name="Module"/>
    <x:tableColumn id="2" name="Attach to main chassis at"/>
    <x:tableColumn id="3" name="Primary attachment direction"/>
    <x:tableColumn id="4" name="Interface"/>
    <x:tableColumn id="5" name="Nominal attachment zone"/>
    <x:tableColumn id="6" name="Removable?"/>
    <x:tableColumn id="7" name="Services carried"/>
    <x:tableColumn id="8" name="Mechanical constraints"/>
    <x:tableColumn id="9" name="Fina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2f853df07c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9ba024195849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bed887d6e2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1cfda90f4049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3d91dcc7964e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b4af7d4661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22e0f0c95942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c08cf9d7bf48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19a0d66ab5498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4" hidden="0" customWidth="1"/>
    <x:col min="5" max="5" width="12" hidden="0" customWidth="1"/>
    <x:col min="6" max="6" width="10" hidden="0" customWidth="1"/>
    <x:col min="7" max="7" width="24" hidden="0" customWidth="1"/>
    <x:col min="8" max="8" width="24" hidden="0" customWidth="1"/>
    <x:col min="9" max="9" width="32" hidden="0" customWidth="1"/>
  </x:cols>
  <x:sheetData>
    <x:row r="1" ht="28" customHeight="1">
      <x:c r="A1" s="48" t="str">
        <x:v>Desk Assistant Robot — Physical Measurement Sheet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Measurement Tracker</x:v>
      </x:c>
      <x:c r="L1" s="20" t="str"/>
    </x:row>
    <x:row r="2" ht="34" customHeight="1">
      <x:c r="A2" s="12" t="str">
        <x:v>Measure the exact hardware you will actually use. Do not fill derived design dimensions here. Use mm throughout; measure mounting-hole coordinates from clearly chosen reference edges and record real connector/cable keep-outs.</x:v>
      </x:c>
      <x:c r="B2" s="12"/>
      <x:c r="C2" s="12"/>
      <x:c r="D2" s="12"/>
      <x:c r="E2" s="12"/>
      <x:c r="F2" s="12"/>
      <x:c r="G2" s="12"/>
      <x:c r="H2" s="12"/>
      <x:c r="I2" s="12"/>
      <x:c r="K2" s="44" t="str">
        <x:v>Total measurement rows</x:v>
      </x:c>
      <x:c r="L2" s="29" t="n">
        <x:f>COUNTA(A5:A118)</x:f>
        <x:v>101</x:v>
      </x:c>
    </x:row>
    <x:row r="3">
      <x:c r="K3" s="44" t="str">
        <x:v>Filled values</x:v>
      </x:c>
      <x:c r="L3" s="29" t="n">
        <x:f>COUNTIF(E5:E118,"&lt;&gt;")</x:f>
        <x:v>0</x:v>
      </x:c>
    </x:row>
    <x:row r="4" ht="34" customHeight="1">
      <x:c r="A4" s="20" t="str">
        <x:v>Module</x:v>
      </x:c>
      <x:c r="B4" s="20" t="str">
        <x:v>Component</x:v>
      </x:c>
      <x:c r="C4" s="20" t="str">
        <x:v>Parameter to measure</x:v>
      </x:c>
      <x:c r="D4" s="20" t="str">
        <x:v>What exactly to capture</x:v>
      </x:c>
      <x:c r="E4" s="20" t="str">
        <x:v>Value</x:v>
      </x:c>
      <x:c r="F4" s="20" t="str">
        <x:v>Unit</x:v>
      </x:c>
      <x:c r="G4" s="20" t="str">
        <x:v>Reference / datum</x:v>
      </x:c>
      <x:c r="H4" s="20" t="str">
        <x:v>Recommended measurement method</x:v>
      </x:c>
      <x:c r="I4" s="20" t="str">
        <x:v>Notes</x:v>
      </x:c>
      <x:c r="K4" s="44" t="str">
        <x:v>Remaining</x:v>
      </x:c>
      <x:c r="L4" s="29" t="n">
        <x:f>L2-L3</x:f>
        <x:v>101</x:v>
      </x:c>
    </x:row>
    <x:row r="5">
      <x:c r="A5" s="29" t="str">
        <x:v>Main Chassis</x:v>
      </x:c>
      <x:c r="B5" s="29" t="str">
        <x:v>Raspberry Pi 4 Model B</x:v>
      </x:c>
      <x:c r="C5" s="29" t="str">
        <x:v>Board length</x:v>
      </x:c>
      <x:c r="D5" s="29" t="str">
        <x:v>Overall PCB length</x:v>
      </x:c>
      <x:c r="E5" s="38"/>
      <x:c r="F5" s="39" t="str">
        <x:v>mm</x:v>
      </x:c>
      <x:c r="G5" s="29" t="str">
        <x:v>Measure from board edges</x:v>
      </x:c>
      <x:c r="H5" s="29" t="str">
        <x:v>Digital caliper</x:v>
      </x:c>
      <x:c r="I5" s="29" t="str">
        <x:v>Use bare board dimensions if possible; case dimensions are separate.</x:v>
      </x:c>
      <x:c r="K5" s="44" t="str">
        <x:v>Units</x:v>
      </x:c>
      <x:c r="L5" s="29" t="str">
        <x:v>mm unless marked text</x:v>
      </x:c>
    </x:row>
    <x:row r="6">
      <x:c r="A6" s="29" t="str">
        <x:v>Main Chassis</x:v>
      </x:c>
      <x:c r="B6" s="29" t="str">
        <x:v>Raspberry Pi 4 Model B</x:v>
      </x:c>
      <x:c r="C6" s="29" t="str">
        <x:v>Board width</x:v>
      </x:c>
      <x:c r="D6" s="29" t="str">
        <x:v>Overall PCB width</x:v>
      </x:c>
      <x:c r="E6" s="38"/>
      <x:c r="F6" s="39" t="str">
        <x:v>mm</x:v>
      </x:c>
      <x:c r="G6" s="29" t="str">
        <x:v>Measure from board edges</x:v>
      </x:c>
      <x:c r="H6" s="29" t="str">
        <x:v>Digital caliper</x:v>
      </x:c>
      <x:c r="I6" s="29" t="str"/>
    </x:row>
    <x:row r="7">
      <x:c r="A7" s="29" t="str">
        <x:v>Main Chassis</x:v>
      </x:c>
      <x:c r="B7" s="29" t="str">
        <x:v>Raspberry Pi 4 Model B</x:v>
      </x:c>
      <x:c r="C7" s="29" t="str">
        <x:v>Board thickness</x:v>
      </x:c>
      <x:c r="D7" s="29" t="str">
        <x:v>PCB thickness</x:v>
      </x:c>
      <x:c r="E7" s="38"/>
      <x:c r="F7" s="39" t="str">
        <x:v>mm</x:v>
      </x:c>
      <x:c r="G7" s="29" t="str">
        <x:v>Board plane</x:v>
      </x:c>
      <x:c r="H7" s="29" t="str">
        <x:v>Digital caliper</x:v>
      </x:c>
      <x:c r="I7" s="29" t="str"/>
    </x:row>
    <x:row r="8">
      <x:c r="A8" s="29" t="str">
        <x:v>Main Chassis</x:v>
      </x:c>
      <x:c r="B8" s="29" t="str">
        <x:v>Raspberry Pi 4 Model B</x:v>
      </x:c>
      <x:c r="C8" s="29" t="str">
        <x:v>Mounting hole diameter</x:v>
      </x:c>
      <x:c r="D8" s="29" t="str">
        <x:v>Diameter of each mounting hole</x:v>
      </x:c>
      <x:c r="E8" s="38"/>
      <x:c r="F8" s="39" t="str">
        <x:v>mm</x:v>
      </x:c>
      <x:c r="G8" s="29" t="str">
        <x:v>Hole center/edge</x:v>
      </x:c>
      <x:c r="H8" s="29" t="str">
        <x:v>Digital caliper</x:v>
      </x:c>
      <x:c r="I8" s="29" t="str">
        <x:v>Confirm all four holes match.</x:v>
      </x:c>
    </x:row>
    <x:row r="9">
      <x:c r="A9" s="29" t="str">
        <x:v>Main Chassis</x:v>
      </x:c>
      <x:c r="B9" s="29" t="str">
        <x:v>Raspberry Pi 4 Model B</x:v>
      </x:c>
      <x:c r="C9" s="29" t="str">
        <x:v>Mounting hole X coordinates</x:v>
      </x:c>
      <x:c r="D9" s="29" t="str">
        <x:v>Each hole center from chosen X datum</x:v>
      </x:c>
      <x:c r="E9" s="38"/>
      <x:c r="F9" s="39" t="str">
        <x:v>mm</x:v>
      </x:c>
      <x:c r="G9" s="29" t="str">
        <x:v>Lower-left board corner</x:v>
      </x:c>
      <x:c r="H9" s="29" t="str">
        <x:v>Caliper + drawing</x:v>
      </x:c>
      <x:c r="I9" s="29" t="str">
        <x:v>Record all four positions consistently.</x:v>
      </x:c>
    </x:row>
    <x:row r="10">
      <x:c r="A10" s="29" t="str">
        <x:v>Main Chassis</x:v>
      </x:c>
      <x:c r="B10" s="29" t="str">
        <x:v>Raspberry Pi 4 Model B</x:v>
      </x:c>
      <x:c r="C10" s="29" t="str">
        <x:v>Mounting hole Y coordinates</x:v>
      </x:c>
      <x:c r="D10" s="29" t="str">
        <x:v>Each hole center from chosen Y datum</x:v>
      </x:c>
      <x:c r="E10" s="38"/>
      <x:c r="F10" s="39" t="str">
        <x:v>mm</x:v>
      </x:c>
      <x:c r="G10" s="29" t="str">
        <x:v>Lower-left board corner</x:v>
      </x:c>
      <x:c r="H10" s="29" t="str">
        <x:v>Caliper + drawing</x:v>
      </x:c>
      <x:c r="I10" s="29" t="str"/>
    </x:row>
    <x:row r="11">
      <x:c r="A11" s="29" t="str">
        <x:v>Main Chassis</x:v>
      </x:c>
      <x:c r="B11" s="29" t="str">
        <x:v>Raspberry Pi 4 Model B</x:v>
      </x:c>
      <x:c r="C11" s="29" t="str">
        <x:v>USB keep-out</x:v>
      </x:c>
      <x:c r="D11" s="29" t="str">
        <x:v>Connector envelope + cable space</x:v>
      </x:c>
      <x:c r="E11" s="38"/>
      <x:c r="F11" s="39" t="str">
        <x:v>mm</x:v>
      </x:c>
      <x:c r="G11" s="29" t="str">
        <x:v>From board edge</x:v>
      </x:c>
      <x:c r="H11" s="29" t="str">
        <x:v>Caliper</x:v>
      </x:c>
      <x:c r="I11" s="29" t="str">
        <x:v>Record width/depth of the keep-out zone.</x:v>
      </x:c>
    </x:row>
    <x:row r="12">
      <x:c r="A12" s="29" t="str">
        <x:v>Main Chassis</x:v>
      </x:c>
      <x:c r="B12" s="29" t="str">
        <x:v>Raspberry Pi 4 Model B</x:v>
      </x:c>
      <x:c r="C12" s="29" t="str">
        <x:v>Ethernet keep-out</x:v>
      </x:c>
      <x:c r="D12" s="29" t="str">
        <x:v>Connector envelope + cable space</x:v>
      </x:c>
      <x:c r="E12" s="38"/>
      <x:c r="F12" s="39" t="str">
        <x:v>mm</x:v>
      </x:c>
      <x:c r="G12" s="29" t="str">
        <x:v>From board edge</x:v>
      </x:c>
      <x:c r="H12" s="29" t="str">
        <x:v>Caliper</x:v>
      </x:c>
      <x:c r="I12" s="29" t="str"/>
    </x:row>
    <x:row r="13">
      <x:c r="A13" s="29" t="str">
        <x:v>Main Chassis</x:v>
      </x:c>
      <x:c r="B13" s="29" t="str">
        <x:v>Raspberry Pi 4 Model B</x:v>
      </x:c>
      <x:c r="C13" s="29" t="str">
        <x:v>HDMI keep-out</x:v>
      </x:c>
      <x:c r="D13" s="29" t="str">
        <x:v>Connector envelope + cable space</x:v>
      </x:c>
      <x:c r="E13" s="38"/>
      <x:c r="F13" s="39" t="str">
        <x:v>mm</x:v>
      </x:c>
      <x:c r="G13" s="29" t="str">
        <x:v>From board edge</x:v>
      </x:c>
      <x:c r="H13" s="29" t="str">
        <x:v>Caliper</x:v>
      </x:c>
      <x:c r="I13" s="29" t="str"/>
    </x:row>
    <x:row r="14">
      <x:c r="A14" s="29" t="str">
        <x:v>Main Chassis</x:v>
      </x:c>
      <x:c r="B14" s="29" t="str">
        <x:v>Raspberry Pi 4 Model B</x:v>
      </x:c>
      <x:c r="C14" s="29" t="str">
        <x:v>USB-C power keep-out</x:v>
      </x:c>
      <x:c r="D14" s="29" t="str">
        <x:v>Connector envelope + cable space</x:v>
      </x:c>
      <x:c r="E14" s="38"/>
      <x:c r="F14" s="39" t="str">
        <x:v>mm</x:v>
      </x:c>
      <x:c r="G14" s="29" t="str">
        <x:v>From board edge</x:v>
      </x:c>
      <x:c r="H14" s="29" t="str">
        <x:v>Caliper</x:v>
      </x:c>
      <x:c r="I14" s="29" t="str"/>
    </x:row>
    <x:row r="15">
      <x:c r="A15" s="29" t="str">
        <x:v>Main Chassis</x:v>
      </x:c>
      <x:c r="B15" s="29" t="str">
        <x:v>Raspberry Pi 4 Model B</x:v>
      </x:c>
      <x:c r="C15" s="29" t="str">
        <x:v>GPIO keep-out</x:v>
      </x:c>
      <x:c r="D15" s="29" t="str">
        <x:v>Header envelope + finger/probe space</x:v>
      </x:c>
      <x:c r="E15" s="38"/>
      <x:c r="F15" s="39" t="str">
        <x:v>mm</x:v>
      </x:c>
      <x:c r="G15" s="29" t="str">
        <x:v>From board edge</x:v>
      </x:c>
      <x:c r="H15" s="29" t="str">
        <x:v>Caliper</x:v>
      </x:c>
      <x:c r="I15" s="29" t="str"/>
    </x:row>
    <x:row r="16">
      <x:c r="A16" s="29" t="str">
        <x:v>Main Chassis</x:v>
      </x:c>
      <x:c r="B16" s="29" t="str">
        <x:v>Raspberry Pi 4 Model B</x:v>
      </x:c>
      <x:c r="C16" s="29" t="str">
        <x:v>CSI camera connector keep-out</x:v>
      </x:c>
      <x:c r="D16" s="29" t="str">
        <x:v>Connector + ribbon cable bending space</x:v>
      </x:c>
      <x:c r="E16" s="38"/>
      <x:c r="F16" s="39" t="str">
        <x:v>mm</x:v>
      </x:c>
      <x:c r="G16" s="29" t="str">
        <x:v>From board edge</x:v>
      </x:c>
      <x:c r="H16" s="29" t="str">
        <x:v>Caliper</x:v>
      </x:c>
      <x:c r="I16" s="29" t="str">
        <x:v>Important for future camera routing.</x:v>
      </x:c>
    </x:row>
    <x:row r="17">
      <x:c r="A17" s="29" t="str">
        <x:v>Main Chassis</x:v>
      </x:c>
      <x:c r="B17" s="29" t="str">
        <x:v>L298N</x:v>
      </x:c>
      <x:c r="C17" s="29" t="str">
        <x:v>PCB length</x:v>
      </x:c>
      <x:c r="D17" s="29" t="str">
        <x:v>Overall board length</x:v>
      </x:c>
      <x:c r="E17" s="38"/>
      <x:c r="F17" s="39" t="str">
        <x:v>mm</x:v>
      </x:c>
      <x:c r="G17" s="29" t="str">
        <x:v>PCB edges</x:v>
      </x:c>
      <x:c r="H17" s="29" t="str">
        <x:v>Digital caliper</x:v>
      </x:c>
      <x:c r="I17" s="29" t="str"/>
    </x:row>
    <x:row r="18">
      <x:c r="A18" s="29" t="str">
        <x:v>Main Chassis</x:v>
      </x:c>
      <x:c r="B18" s="29" t="str">
        <x:v>L298N</x:v>
      </x:c>
      <x:c r="C18" s="29" t="str">
        <x:v>PCB width</x:v>
      </x:c>
      <x:c r="D18" s="29" t="str">
        <x:v>Overall board width</x:v>
      </x:c>
      <x:c r="E18" s="38"/>
      <x:c r="F18" s="39" t="str">
        <x:v>mm</x:v>
      </x:c>
      <x:c r="G18" s="29" t="str">
        <x:v>PCB edges</x:v>
      </x:c>
      <x:c r="H18" s="29" t="str">
        <x:v>Digital caliper</x:v>
      </x:c>
      <x:c r="I18" s="29" t="str"/>
    </x:row>
    <x:row r="19">
      <x:c r="A19" s="29" t="str">
        <x:v>Main Chassis</x:v>
      </x:c>
      <x:c r="B19" s="29" t="str">
        <x:v>L298N</x:v>
      </x:c>
      <x:c r="C19" s="29" t="str">
        <x:v>PCB thickness</x:v>
      </x:c>
      <x:c r="D19" s="29" t="str">
        <x:v>PCB thickness</x:v>
      </x:c>
      <x:c r="E19" s="38"/>
      <x:c r="F19" s="39" t="str">
        <x:v>mm</x:v>
      </x:c>
      <x:c r="G19" s="29" t="str">
        <x:v>Board plane</x:v>
      </x:c>
      <x:c r="H19" s="29" t="str">
        <x:v>Digital caliper</x:v>
      </x:c>
      <x:c r="I19" s="29" t="str"/>
    </x:row>
    <x:row r="20">
      <x:c r="A20" s="29" t="str">
        <x:v>Main Chassis</x:v>
      </x:c>
      <x:c r="B20" s="29" t="str">
        <x:v>L298N</x:v>
      </x:c>
      <x:c r="C20" s="29" t="str">
        <x:v>Mounting hole diameter</x:v>
      </x:c>
      <x:c r="D20" s="29" t="str">
        <x:v>Diameter</x:v>
      </x:c>
      <x:c r="E20" s="38"/>
      <x:c r="F20" s="39" t="str">
        <x:v>mm</x:v>
      </x:c>
      <x:c r="G20" s="29" t="str">
        <x:v>Hole center/edge</x:v>
      </x:c>
      <x:c r="H20" s="29" t="str">
        <x:v>Digital caliper</x:v>
      </x:c>
      <x:c r="I20" s="29" t="str"/>
    </x:row>
    <x:row r="21">
      <x:c r="A21" s="29" t="str">
        <x:v>Main Chassis</x:v>
      </x:c>
      <x:c r="B21" s="29" t="str">
        <x:v>L298N</x:v>
      </x:c>
      <x:c r="C21" s="29" t="str">
        <x:v>Mounting hole coordinates</x:v>
      </x:c>
      <x:c r="D21" s="29" t="str">
        <x:v>Each hole center from chosen board corner</x:v>
      </x:c>
      <x:c r="E21" s="38"/>
      <x:c r="F21" s="39" t="str">
        <x:v>mm</x:v>
      </x:c>
      <x:c r="G21" s="29" t="str">
        <x:v>Lower-left board corner</x:v>
      </x:c>
      <x:c r="H21" s="29" t="str">
        <x:v>Caliper</x:v>
      </x:c>
      <x:c r="I21" s="29" t="str"/>
    </x:row>
    <x:row r="22">
      <x:c r="A22" s="29" t="str">
        <x:v>Main Chassis</x:v>
      </x:c>
      <x:c r="B22" s="29" t="str">
        <x:v>L298N</x:v>
      </x:c>
      <x:c r="C22" s="29" t="str">
        <x:v>Terminal block envelope</x:v>
      </x:c>
      <x:c r="D22" s="29" t="str">
        <x:v>Length/width/height and protrusion</x:v>
      </x:c>
      <x:c r="E22" s="38"/>
      <x:c r="F22" s="39" t="str">
        <x:v>mm</x:v>
      </x:c>
      <x:c r="G22" s="29" t="str">
        <x:v>PCB top face</x:v>
      </x:c>
      <x:c r="H22" s="29" t="str">
        <x:v>Caliper</x:v>
      </x:c>
      <x:c r="I22" s="29" t="str">
        <x:v>Include cable access.</x:v>
      </x:c>
    </x:row>
    <x:row r="23">
      <x:c r="A23" s="29" t="str">
        <x:v>Main Chassis</x:v>
      </x:c>
      <x:c r="B23" s="29" t="str">
        <x:v>L298N</x:v>
      </x:c>
      <x:c r="C23" s="29" t="str">
        <x:v>Heatsink envelope</x:v>
      </x:c>
      <x:c r="D23" s="29" t="str">
        <x:v>Length/width/height</x:v>
      </x:c>
      <x:c r="E23" s="38"/>
      <x:c r="F23" s="39" t="str">
        <x:v>mm</x:v>
      </x:c>
      <x:c r="G23" s="29" t="str">
        <x:v>PCB top face</x:v>
      </x:c>
      <x:c r="H23" s="29" t="str">
        <x:v>Caliper</x:v>
      </x:c>
      <x:c r="I23" s="29" t="str"/>
    </x:row>
    <x:row r="24">
      <x:c r="A24" s="29" t="str">
        <x:v>Main Chassis</x:v>
      </x:c>
      <x:c r="B24" s="29" t="str">
        <x:v>DC Geared Motor — Left</x:v>
      </x:c>
      <x:c r="C24" s="29" t="str">
        <x:v>Body length</x:v>
      </x:c>
      <x:c r="D24" s="29" t="str">
        <x:v>Motor + gearbox overall body length</x:v>
      </x:c>
      <x:c r="E24" s="38"/>
      <x:c r="F24" s="39" t="str">
        <x:v>mm</x:v>
      </x:c>
      <x:c r="G24" s="29" t="str">
        <x:v>Mounting face</x:v>
      </x:c>
      <x:c r="H24" s="29" t="str">
        <x:v>Digital caliper</x:v>
      </x:c>
      <x:c r="I24" s="29" t="str"/>
    </x:row>
    <x:row r="25">
      <x:c r="A25" s="29" t="str">
        <x:v>Main Chassis</x:v>
      </x:c>
      <x:c r="B25" s="29" t="str">
        <x:v>DC Geared Motor — Left</x:v>
      </x:c>
      <x:c r="C25" s="29" t="str">
        <x:v>Body width</x:v>
      </x:c>
      <x:c r="D25" s="29" t="str">
        <x:v>Overall body width</x:v>
      </x:c>
      <x:c r="E25" s="38"/>
      <x:c r="F25" s="39" t="str">
        <x:v>mm</x:v>
      </x:c>
      <x:c r="G25" s="29" t="str">
        <x:v>Mounting face</x:v>
      </x:c>
      <x:c r="H25" s="29" t="str">
        <x:v>Digital caliper</x:v>
      </x:c>
      <x:c r="I25" s="29" t="str"/>
    </x:row>
    <x:row r="26">
      <x:c r="A26" s="29" t="str">
        <x:v>Main Chassis</x:v>
      </x:c>
      <x:c r="B26" s="29" t="str">
        <x:v>DC Geared Motor — Left</x:v>
      </x:c>
      <x:c r="C26" s="29" t="str">
        <x:v>Body height</x:v>
      </x:c>
      <x:c r="D26" s="29" t="str">
        <x:v>Overall body height</x:v>
      </x:c>
      <x:c r="E26" s="38"/>
      <x:c r="F26" s="39" t="str">
        <x:v>mm</x:v>
      </x:c>
      <x:c r="G26" s="29" t="str">
        <x:v>Mounting face</x:v>
      </x:c>
      <x:c r="H26" s="29" t="str">
        <x:v>Digital caliper</x:v>
      </x:c>
      <x:c r="I26" s="29" t="str"/>
    </x:row>
    <x:row r="27">
      <x:c r="A27" s="29" t="str">
        <x:v>Main Chassis</x:v>
      </x:c>
      <x:c r="B27" s="29" t="str">
        <x:v>DC Geared Motor — Left</x:v>
      </x:c>
      <x:c r="C27" s="29" t="str">
        <x:v>Mounting hole diameter</x:v>
      </x:c>
      <x:c r="D27" s="29" t="str">
        <x:v>All mounting-hole diameters</x:v>
      </x:c>
      <x:c r="E27" s="38"/>
      <x:c r="F27" s="39" t="str">
        <x:v>mm</x:v>
      </x:c>
      <x:c r="G27" s="29" t="str">
        <x:v>Mounting face</x:v>
      </x:c>
      <x:c r="H27" s="29" t="str">
        <x:v>Caliper</x:v>
      </x:c>
      <x:c r="I27" s="29" t="str"/>
    </x:row>
    <x:row r="28">
      <x:c r="A28" s="29" t="str">
        <x:v>Main Chassis</x:v>
      </x:c>
      <x:c r="B28" s="29" t="str">
        <x:v>DC Geared Motor — Left</x:v>
      </x:c>
      <x:c r="C28" s="29" t="str">
        <x:v>Mounting hole spacing</x:v>
      </x:c>
      <x:c r="D28" s="29" t="str">
        <x:v>Center-to-center distances in each axis</x:v>
      </x:c>
      <x:c r="E28" s="38"/>
      <x:c r="F28" s="39" t="str">
        <x:v>mm</x:v>
      </x:c>
      <x:c r="G28" s="29" t="str">
        <x:v>Mounting face</x:v>
      </x:c>
      <x:c r="H28" s="29" t="str">
        <x:v>Caliper</x:v>
      </x:c>
      <x:c r="I28" s="29" t="str"/>
    </x:row>
    <x:row r="29">
      <x:c r="A29" s="29" t="str">
        <x:v>Main Chassis</x:v>
      </x:c>
      <x:c r="B29" s="29" t="str">
        <x:v>DC Geared Motor — Left</x:v>
      </x:c>
      <x:c r="C29" s="29" t="str">
        <x:v>Hole-to-edge distances</x:v>
      </x:c>
      <x:c r="D29" s="29" t="str">
        <x:v>Hole center to mounting-face edges</x:v>
      </x:c>
      <x:c r="E29" s="38"/>
      <x:c r="F29" s="39" t="str">
        <x:v>mm</x:v>
      </x:c>
      <x:c r="G29" s="29" t="str">
        <x:v>Mounting face</x:v>
      </x:c>
      <x:c r="H29" s="29" t="str">
        <x:v>Caliper</x:v>
      </x:c>
      <x:c r="I29" s="29" t="str"/>
    </x:row>
    <x:row r="30">
      <x:c r="A30" s="29" t="str">
        <x:v>Main Chassis</x:v>
      </x:c>
      <x:c r="B30" s="29" t="str">
        <x:v>DC Geared Motor — Left</x:v>
      </x:c>
      <x:c r="C30" s="29" t="str">
        <x:v>Shaft diameter</x:v>
      </x:c>
      <x:c r="D30" s="29" t="str">
        <x:v>Drive shaft diameter</x:v>
      </x:c>
      <x:c r="E30" s="38"/>
      <x:c r="F30" s="39" t="str">
        <x:v>mm</x:v>
      </x:c>
      <x:c r="G30" s="29" t="str">
        <x:v>Shaft axis</x:v>
      </x:c>
      <x:c r="H30" s="29" t="str">
        <x:v>Micrometer/caliper</x:v>
      </x:c>
      <x:c r="I30" s="29" t="str"/>
    </x:row>
    <x:row r="31">
      <x:c r="A31" s="29" t="str">
        <x:v>Main Chassis</x:v>
      </x:c>
      <x:c r="B31" s="29" t="str">
        <x:v>DC Geared Motor — Left</x:v>
      </x:c>
      <x:c r="C31" s="29" t="str">
        <x:v>Shaft protrusion</x:v>
      </x:c>
      <x:c r="D31" s="29" t="str">
        <x:v>Exposed shaft length</x:v>
      </x:c>
      <x:c r="E31" s="38"/>
      <x:c r="F31" s="39" t="str">
        <x:v>mm</x:v>
      </x:c>
      <x:c r="G31" s="29" t="str">
        <x:v>Gearbox face</x:v>
      </x:c>
      <x:c r="H31" s="29" t="str">
        <x:v>Caliper</x:v>
      </x:c>
      <x:c r="I31" s="29" t="str"/>
    </x:row>
    <x:row r="32">
      <x:c r="A32" s="29" t="str">
        <x:v>Main Chassis</x:v>
      </x:c>
      <x:c r="B32" s="29" t="str">
        <x:v>DC Geared Motor — Left</x:v>
      </x:c>
      <x:c r="C32" s="29" t="str">
        <x:v>Shaft center height</x:v>
      </x:c>
      <x:c r="D32" s="29" t="str">
        <x:v>Shaft axis above mounting face</x:v>
      </x:c>
      <x:c r="E32" s="38"/>
      <x:c r="F32" s="39" t="str">
        <x:v>mm</x:v>
      </x:c>
      <x:c r="G32" s="29" t="str">
        <x:v>Mounting face</x:v>
      </x:c>
      <x:c r="H32" s="29" t="str">
        <x:v>Caliper</x:v>
      </x:c>
      <x:c r="I32" s="29" t="str">
        <x:v>Critical for wheel/body alignment.</x:v>
      </x:c>
    </x:row>
    <x:row r="33">
      <x:c r="A33" s="29" t="str">
        <x:v>Main Chassis</x:v>
      </x:c>
      <x:c r="B33" s="29" t="str">
        <x:v>DC Geared Motor — Left</x:v>
      </x:c>
      <x:c r="C33" s="29" t="str">
        <x:v>Shaft type/interface</x:v>
      </x:c>
      <x:c r="D33" s="29" t="str">
        <x:v>D-shaft/key/round/threaded etc.</x:v>
      </x:c>
      <x:c r="E33" s="38"/>
      <x:c r="F33" s="39" t="str">
        <x:v>text</x:v>
      </x:c>
      <x:c r="G33" s="29" t="str">
        <x:v>Shaft</x:v>
      </x:c>
      <x:c r="H33" s="29" t="str">
        <x:v>Visual + caliper</x:v>
      </x:c>
      <x:c r="I33" s="29" t="str">
        <x:v>Record exact interface.</x:v>
      </x:c>
    </x:row>
    <x:row r="34">
      <x:c r="A34" s="29" t="str">
        <x:v>Main Chassis</x:v>
      </x:c>
      <x:c r="B34" s="29" t="str">
        <x:v>DC Geared Motor — Right</x:v>
      </x:c>
      <x:c r="C34" s="29" t="str">
        <x:v>Body length</x:v>
      </x:c>
      <x:c r="D34" s="29" t="str">
        <x:v>Motor + gearbox overall body length</x:v>
      </x:c>
      <x:c r="E34" s="38"/>
      <x:c r="F34" s="39" t="str">
        <x:v>mm</x:v>
      </x:c>
      <x:c r="G34" s="29" t="str">
        <x:v>Mounting face</x:v>
      </x:c>
      <x:c r="H34" s="29" t="str">
        <x:v>Digital caliper</x:v>
      </x:c>
      <x:c r="I34" s="29" t="str">
        <x:v>Measure independently in case of variation.</x:v>
      </x:c>
    </x:row>
    <x:row r="35">
      <x:c r="A35" s="29" t="str">
        <x:v>Main Chassis</x:v>
      </x:c>
      <x:c r="B35" s="29" t="str">
        <x:v>DC Geared Motor — Right</x:v>
      </x:c>
      <x:c r="C35" s="29" t="str">
        <x:v>Body width</x:v>
      </x:c>
      <x:c r="D35" s="29" t="str">
        <x:v>Overall body width</x:v>
      </x:c>
      <x:c r="E35" s="38"/>
      <x:c r="F35" s="39" t="str">
        <x:v>mm</x:v>
      </x:c>
      <x:c r="G35" s="29" t="str">
        <x:v>Mounting face</x:v>
      </x:c>
      <x:c r="H35" s="29" t="str">
        <x:v>Digital caliper</x:v>
      </x:c>
      <x:c r="I35" s="29" t="str"/>
    </x:row>
    <x:row r="36">
      <x:c r="A36" s="29" t="str">
        <x:v>Main Chassis</x:v>
      </x:c>
      <x:c r="B36" s="29" t="str">
        <x:v>DC Geared Motor — Right</x:v>
      </x:c>
      <x:c r="C36" s="29" t="str">
        <x:v>Body height</x:v>
      </x:c>
      <x:c r="D36" s="29" t="str">
        <x:v>Overall body height</x:v>
      </x:c>
      <x:c r="E36" s="38"/>
      <x:c r="F36" s="39" t="str">
        <x:v>mm</x:v>
      </x:c>
      <x:c r="G36" s="29" t="str">
        <x:v>Mounting face</x:v>
      </x:c>
      <x:c r="H36" s="29" t="str">
        <x:v>Digital caliper</x:v>
      </x:c>
      <x:c r="I36" s="29" t="str"/>
    </x:row>
    <x:row r="37">
      <x:c r="A37" s="29" t="str">
        <x:v>Main Chassis</x:v>
      </x:c>
      <x:c r="B37" s="29" t="str">
        <x:v>DC Geared Motor — Right</x:v>
      </x:c>
      <x:c r="C37" s="29" t="str">
        <x:v>Mounting hole diameter</x:v>
      </x:c>
      <x:c r="D37" s="29" t="str">
        <x:v>All mounting-hole diameters</x:v>
      </x:c>
      <x:c r="E37" s="38"/>
      <x:c r="F37" s="39" t="str">
        <x:v>mm</x:v>
      </x:c>
      <x:c r="G37" s="29" t="str">
        <x:v>Mounting face</x:v>
      </x:c>
      <x:c r="H37" s="29" t="str">
        <x:v>Caliper</x:v>
      </x:c>
      <x:c r="I37" s="29" t="str"/>
    </x:row>
    <x:row r="38">
      <x:c r="A38" s="29" t="str">
        <x:v>Main Chassis</x:v>
      </x:c>
      <x:c r="B38" s="29" t="str">
        <x:v>DC Geared Motor — Right</x:v>
      </x:c>
      <x:c r="C38" s="29" t="str">
        <x:v>Mounting hole spacing</x:v>
      </x:c>
      <x:c r="D38" s="29" t="str">
        <x:v>Center-to-center distances in each axis</x:v>
      </x:c>
      <x:c r="E38" s="38"/>
      <x:c r="F38" s="39" t="str">
        <x:v>mm</x:v>
      </x:c>
      <x:c r="G38" s="29" t="str">
        <x:v>Mounting face</x:v>
      </x:c>
      <x:c r="H38" s="29" t="str">
        <x:v>Caliper</x:v>
      </x:c>
      <x:c r="I38" s="29" t="str"/>
    </x:row>
    <x:row r="39">
      <x:c r="A39" s="29" t="str">
        <x:v>Main Chassis</x:v>
      </x:c>
      <x:c r="B39" s="29" t="str">
        <x:v>DC Geared Motor — Right</x:v>
      </x:c>
      <x:c r="C39" s="29" t="str">
        <x:v>Hole-to-edge distances</x:v>
      </x:c>
      <x:c r="D39" s="29" t="str">
        <x:v>Hole center to mounting-face edges</x:v>
      </x:c>
      <x:c r="E39" s="38"/>
      <x:c r="F39" s="39" t="str">
        <x:v>mm</x:v>
      </x:c>
      <x:c r="G39" s="29" t="str">
        <x:v>Mounting face</x:v>
      </x:c>
      <x:c r="H39" s="29" t="str">
        <x:v>Caliper</x:v>
      </x:c>
      <x:c r="I39" s="29" t="str"/>
    </x:row>
    <x:row r="40">
      <x:c r="A40" s="29" t="str">
        <x:v>Main Chassis</x:v>
      </x:c>
      <x:c r="B40" s="29" t="str">
        <x:v>DC Geared Motor — Right</x:v>
      </x:c>
      <x:c r="C40" s="29" t="str">
        <x:v>Shaft diameter</x:v>
      </x:c>
      <x:c r="D40" s="29" t="str">
        <x:v>Drive shaft diameter</x:v>
      </x:c>
      <x:c r="E40" s="38"/>
      <x:c r="F40" s="39" t="str">
        <x:v>mm</x:v>
      </x:c>
      <x:c r="G40" s="29" t="str">
        <x:v>Shaft axis</x:v>
      </x:c>
      <x:c r="H40" s="29" t="str">
        <x:v>Micrometer/caliper</x:v>
      </x:c>
      <x:c r="I40" s="29" t="str"/>
    </x:row>
    <x:row r="41">
      <x:c r="A41" s="29" t="str">
        <x:v>Main Chassis</x:v>
      </x:c>
      <x:c r="B41" s="29" t="str">
        <x:v>DC Geared Motor — Right</x:v>
      </x:c>
      <x:c r="C41" s="29" t="str">
        <x:v>Shaft protrusion</x:v>
      </x:c>
      <x:c r="D41" s="29" t="str">
        <x:v>Exposed shaft length</x:v>
      </x:c>
      <x:c r="E41" s="38"/>
      <x:c r="F41" s="39" t="str">
        <x:v>mm</x:v>
      </x:c>
      <x:c r="G41" s="29" t="str">
        <x:v>Gearbox face</x:v>
      </x:c>
      <x:c r="H41" s="29" t="str">
        <x:v>Caliper</x:v>
      </x:c>
      <x:c r="I41" s="29" t="str"/>
    </x:row>
    <x:row r="42">
      <x:c r="A42" s="29" t="str">
        <x:v>Main Chassis</x:v>
      </x:c>
      <x:c r="B42" s="29" t="str">
        <x:v>DC Geared Motor — Right</x:v>
      </x:c>
      <x:c r="C42" s="29" t="str">
        <x:v>Shaft center height</x:v>
      </x:c>
      <x:c r="D42" s="29" t="str">
        <x:v>Shaft axis above mounting face</x:v>
      </x:c>
      <x:c r="E42" s="38"/>
      <x:c r="F42" s="39" t="str">
        <x:v>mm</x:v>
      </x:c>
      <x:c r="G42" s="29" t="str">
        <x:v>Mounting face</x:v>
      </x:c>
      <x:c r="H42" s="29" t="str">
        <x:v>Caliper</x:v>
      </x:c>
      <x:c r="I42" s="29" t="str"/>
    </x:row>
    <x:row r="43">
      <x:c r="A43" s="29" t="str">
        <x:v>Main Chassis</x:v>
      </x:c>
      <x:c r="B43" s="29" t="str">
        <x:v>DC Geared Motor — Right</x:v>
      </x:c>
      <x:c r="C43" s="29" t="str">
        <x:v>Shaft type/interface</x:v>
      </x:c>
      <x:c r="D43" s="29" t="str">
        <x:v>D-shaft/key/round/threaded etc.</x:v>
      </x:c>
      <x:c r="E43" s="38"/>
      <x:c r="F43" s="39" t="str">
        <x:v>text</x:v>
      </x:c>
      <x:c r="G43" s="29" t="str">
        <x:v>Shaft</x:v>
      </x:c>
      <x:c r="H43" s="29" t="str">
        <x:v>Visual + caliper</x:v>
      </x:c>
      <x:c r="I43" s="29" t="str"/>
    </x:row>
    <x:row r="44">
      <x:c r="A44" s="29" t="str">
        <x:v>Main Chassis</x:v>
      </x:c>
      <x:c r="B44" s="29" t="str">
        <x:v>Wheel — Left</x:v>
      </x:c>
      <x:c r="C44" s="29" t="str">
        <x:v>Outer diameter</x:v>
      </x:c>
      <x:c r="D44" s="29" t="str">
        <x:v>Tire/wheel OD</x:v>
      </x:c>
      <x:c r="E44" s="38"/>
      <x:c r="F44" s="39" t="str">
        <x:v>mm</x:v>
      </x:c>
      <x:c r="G44" s="29" t="str">
        <x:v>Wheel center</x:v>
      </x:c>
      <x:c r="H44" s="29" t="str">
        <x:v>Caliper</x:v>
      </x:c>
      <x:c r="I44" s="29" t="str"/>
    </x:row>
    <x:row r="45">
      <x:c r="A45" s="29" t="str">
        <x:v>Main Chassis</x:v>
      </x:c>
      <x:c r="B45" s="29" t="str">
        <x:v>Wheel — Left</x:v>
      </x:c>
      <x:c r="C45" s="29" t="str">
        <x:v>Wheel width</x:v>
      </x:c>
      <x:c r="D45" s="29" t="str">
        <x:v>Overall wheel width</x:v>
      </x:c>
      <x:c r="E45" s="38"/>
      <x:c r="F45" s="39" t="str">
        <x:v>mm</x:v>
      </x:c>
      <x:c r="G45" s="29" t="str">
        <x:v>Wheel mid-plane</x:v>
      </x:c>
      <x:c r="H45" s="29" t="str">
        <x:v>Caliper</x:v>
      </x:c>
      <x:c r="I45" s="29" t="str"/>
    </x:row>
    <x:row r="46">
      <x:c r="A46" s="29" t="str">
        <x:v>Main Chassis</x:v>
      </x:c>
      <x:c r="B46" s="29" t="str">
        <x:v>Wheel — Left</x:v>
      </x:c>
      <x:c r="C46" s="29" t="str">
        <x:v>Hub/bore diameter</x:v>
      </x:c>
      <x:c r="D46" s="29" t="str">
        <x:v>Shaft/bore diameter</x:v>
      </x:c>
      <x:c r="E46" s="38"/>
      <x:c r="F46" s="39" t="str">
        <x:v>mm</x:v>
      </x:c>
      <x:c r="G46" s="29" t="str">
        <x:v>Wheel center</x:v>
      </x:c>
      <x:c r="H46" s="29" t="str">
        <x:v>Caliper</x:v>
      </x:c>
      <x:c r="I46" s="29" t="str"/>
    </x:row>
    <x:row r="47">
      <x:c r="A47" s="29" t="str">
        <x:v>Main Chassis</x:v>
      </x:c>
      <x:c r="B47" s="29" t="str">
        <x:v>Wheel — Left</x:v>
      </x:c>
      <x:c r="C47" s="29" t="str">
        <x:v>Hub depth</x:v>
      </x:c>
      <x:c r="D47" s="29" t="str">
        <x:v>Hub protrusion/depth</x:v>
      </x:c>
      <x:c r="E47" s="38"/>
      <x:c r="F47" s="39" t="str">
        <x:v>mm</x:v>
      </x:c>
      <x:c r="G47" s="29" t="str">
        <x:v>Wheel face</x:v>
      </x:c>
      <x:c r="H47" s="29" t="str">
        <x:v>Caliper</x:v>
      </x:c>
      <x:c r="I47" s="29" t="str"/>
    </x:row>
    <x:row r="48">
      <x:c r="A48" s="29" t="str">
        <x:v>Main Chassis</x:v>
      </x:c>
      <x:c r="B48" s="29" t="str">
        <x:v>Wheel — Left</x:v>
      </x:c>
      <x:c r="C48" s="29" t="str">
        <x:v>Hub/shaft interface</x:v>
      </x:c>
      <x:c r="D48" s="29" t="str">
        <x:v>D/flat/key/set-screw geometry</x:v>
      </x:c>
      <x:c r="E48" s="38"/>
      <x:c r="F48" s="39" t="str">
        <x:v>text</x:v>
      </x:c>
      <x:c r="G48" s="29" t="str">
        <x:v>Wheel bore</x:v>
      </x:c>
      <x:c r="H48" s="29" t="str">
        <x:v>Visual + caliper</x:v>
      </x:c>
      <x:c r="I48" s="29" t="str"/>
    </x:row>
    <x:row r="49">
      <x:c r="A49" s="29" t="str">
        <x:v>Main Chassis</x:v>
      </x:c>
      <x:c r="B49" s="29" t="str">
        <x:v>Wheel — Right</x:v>
      </x:c>
      <x:c r="C49" s="29" t="str">
        <x:v>Outer diameter</x:v>
      </x:c>
      <x:c r="D49" s="29" t="str">
        <x:v>Tire/wheel OD</x:v>
      </x:c>
      <x:c r="E49" s="38"/>
      <x:c r="F49" s="39" t="str">
        <x:v>mm</x:v>
      </x:c>
      <x:c r="G49" s="29" t="str">
        <x:v>Wheel center</x:v>
      </x:c>
      <x:c r="H49" s="29" t="str">
        <x:v>Caliper</x:v>
      </x:c>
      <x:c r="I49" s="29" t="str"/>
    </x:row>
    <x:row r="50">
      <x:c r="A50" s="29" t="str">
        <x:v>Main Chassis</x:v>
      </x:c>
      <x:c r="B50" s="29" t="str">
        <x:v>Wheel — Right</x:v>
      </x:c>
      <x:c r="C50" s="29" t="str">
        <x:v>Wheel width</x:v>
      </x:c>
      <x:c r="D50" s="29" t="str">
        <x:v>Overall wheel width</x:v>
      </x:c>
      <x:c r="E50" s="38"/>
      <x:c r="F50" s="39" t="str">
        <x:v>mm</x:v>
      </x:c>
      <x:c r="G50" s="29" t="str">
        <x:v>Wheel mid-plane</x:v>
      </x:c>
      <x:c r="H50" s="29" t="str">
        <x:v>Caliper</x:v>
      </x:c>
      <x:c r="I50" s="29" t="str"/>
    </x:row>
    <x:row r="51">
      <x:c r="A51" s="29" t="str">
        <x:v>Main Chassis</x:v>
      </x:c>
      <x:c r="B51" s="29" t="str">
        <x:v>Wheel — Right</x:v>
      </x:c>
      <x:c r="C51" s="29" t="str">
        <x:v>Hub/bore diameter</x:v>
      </x:c>
      <x:c r="D51" s="29" t="str">
        <x:v>Shaft/bore diameter</x:v>
      </x:c>
      <x:c r="E51" s="38"/>
      <x:c r="F51" s="39" t="str">
        <x:v>mm</x:v>
      </x:c>
      <x:c r="G51" s="29" t="str">
        <x:v>Wheel center</x:v>
      </x:c>
      <x:c r="H51" s="29" t="str">
        <x:v>Caliper</x:v>
      </x:c>
      <x:c r="I51" s="29" t="str"/>
    </x:row>
    <x:row r="52">
      <x:c r="A52" s="29" t="str">
        <x:v>Main Chassis</x:v>
      </x:c>
      <x:c r="B52" s="29" t="str">
        <x:v>Wheel — Right</x:v>
      </x:c>
      <x:c r="C52" s="29" t="str">
        <x:v>Hub depth</x:v>
      </x:c>
      <x:c r="D52" s="29" t="str">
        <x:v>Hub protrusion/depth</x:v>
      </x:c>
      <x:c r="E52" s="38"/>
      <x:c r="F52" s="39" t="str">
        <x:v>mm</x:v>
      </x:c>
      <x:c r="G52" s="29" t="str">
        <x:v>Wheel face</x:v>
      </x:c>
      <x:c r="H52" s="29" t="str">
        <x:v>Caliper</x:v>
      </x:c>
      <x:c r="I52" s="29" t="str"/>
    </x:row>
    <x:row r="53">
      <x:c r="A53" s="29" t="str">
        <x:v>Main Chassis</x:v>
      </x:c>
      <x:c r="B53" s="29" t="str">
        <x:v>Wheel — Right</x:v>
      </x:c>
      <x:c r="C53" s="29" t="str">
        <x:v>Hub/shaft interface</x:v>
      </x:c>
      <x:c r="D53" s="29" t="str">
        <x:v>D/flat/key/set-screw geometry</x:v>
      </x:c>
      <x:c r="E53" s="38"/>
      <x:c r="F53" s="39" t="str">
        <x:v>text</x:v>
      </x:c>
      <x:c r="G53" s="29" t="str">
        <x:v>Wheel bore</x:v>
      </x:c>
      <x:c r="H53" s="29" t="str">
        <x:v>Visual + caliper</x:v>
      </x:c>
      <x:c r="I53" s="29" t="str"/>
    </x:row>
    <x:row r="54">
      <x:c r="A54" s="29"/>
      <x:c r="B54" s="29"/>
      <x:c r="C54" s="29"/>
      <x:c r="D54" s="29"/>
      <x:c r="E54" s="38"/>
      <x:c r="F54" s="39"/>
      <x:c r="G54" s="29"/>
      <x:c r="H54" s="29"/>
      <x:c r="I54" s="29"/>
      <x:c r="J54"/>
      <x:c r="K54"/>
      <x:c r="L54"/>
    </x:row>
    <x:row r="55">
      <x:c r="A55" s="29"/>
      <x:c r="B55" s="29"/>
      <x:c r="C55" s="29"/>
      <x:c r="D55" s="29"/>
      <x:c r="E55" s="38"/>
      <x:c r="F55" s="39"/>
      <x:c r="G55" s="29"/>
      <x:c r="H55" s="29"/>
      <x:c r="I55" s="29"/>
      <x:c r="J55"/>
      <x:c r="K55"/>
      <x:c r="L55"/>
    </x:row>
    <x:row r="56">
      <x:c r="A56" s="29"/>
      <x:c r="B56" s="29"/>
      <x:c r="C56" s="29"/>
      <x:c r="D56" s="29"/>
      <x:c r="E56" s="38"/>
      <x:c r="F56" s="39"/>
      <x:c r="G56" s="29"/>
      <x:c r="H56" s="29"/>
      <x:c r="I56" s="29"/>
      <x:c r="J56"/>
      <x:c r="K56"/>
      <x:c r="L56"/>
    </x:row>
    <x:row r="57">
      <x:c r="A57" s="29"/>
      <x:c r="B57" s="29"/>
      <x:c r="C57" s="29"/>
      <x:c r="D57" s="29"/>
      <x:c r="E57" s="38"/>
      <x:c r="F57" s="39"/>
      <x:c r="G57" s="29"/>
      <x:c r="H57" s="29"/>
      <x:c r="I57" s="29"/>
      <x:c r="J57"/>
      <x:c r="K57"/>
      <x:c r="L57"/>
    </x:row>
    <x:row r="58">
      <x:c r="A58" s="29"/>
      <x:c r="B58" s="29"/>
      <x:c r="C58" s="29"/>
      <x:c r="D58" s="29"/>
      <x:c r="E58" s="38"/>
      <x:c r="F58" s="39"/>
      <x:c r="G58" s="29"/>
      <x:c r="H58" s="29"/>
      <x:c r="I58" s="29"/>
      <x:c r="J58"/>
      <x:c r="K58"/>
      <x:c r="L58"/>
    </x:row>
    <x:row r="59">
      <x:c r="A59" s="29" t="str">
        <x:v>Main Chassis</x:v>
      </x:c>
      <x:c r="B59" s="29" t="str">
        <x:v>Battery</x:v>
      </x:c>
      <x:c r="C59" s="29" t="str">
        <x:v>Overall length</x:v>
      </x:c>
      <x:c r="D59" s="29" t="str">
        <x:v>Battery pack L</x:v>
      </x:c>
      <x:c r="E59" s="38"/>
      <x:c r="F59" s="39" t="str">
        <x:v>mm</x:v>
      </x:c>
      <x:c r="G59" s="29" t="str">
        <x:v>Battery outer surface</x:v>
      </x:c>
      <x:c r="H59" s="29" t="str">
        <x:v>Caliper</x:v>
      </x:c>
      <x:c r="I59" s="29" t="str"/>
    </x:row>
    <x:row r="60">
      <x:c r="A60" s="29" t="str">
        <x:v>Main Chassis</x:v>
      </x:c>
      <x:c r="B60" s="29" t="str">
        <x:v>Battery</x:v>
      </x:c>
      <x:c r="C60" s="29" t="str">
        <x:v>Overall width</x:v>
      </x:c>
      <x:c r="D60" s="29" t="str">
        <x:v>Battery pack W</x:v>
      </x:c>
      <x:c r="E60" s="38"/>
      <x:c r="F60" s="39" t="str">
        <x:v>mm</x:v>
      </x:c>
      <x:c r="G60" s="29" t="str">
        <x:v>Battery outer surface</x:v>
      </x:c>
      <x:c r="H60" s="29" t="str">
        <x:v>Caliper</x:v>
      </x:c>
      <x:c r="I60" s="29" t="str"/>
    </x:row>
    <x:row r="61">
      <x:c r="A61" s="29" t="str">
        <x:v>Main Chassis</x:v>
      </x:c>
      <x:c r="B61" s="29" t="str">
        <x:v>Battery</x:v>
      </x:c>
      <x:c r="C61" s="29" t="str">
        <x:v>Overall height</x:v>
      </x:c>
      <x:c r="D61" s="29" t="str">
        <x:v>Battery pack H</x:v>
      </x:c>
      <x:c r="E61" s="38"/>
      <x:c r="F61" s="39" t="str">
        <x:v>mm</x:v>
      </x:c>
      <x:c r="G61" s="29" t="str">
        <x:v>Battery outer surface</x:v>
      </x:c>
      <x:c r="H61" s="29" t="str">
        <x:v>Caliper</x:v>
      </x:c>
      <x:c r="I61" s="29" t="str"/>
    </x:row>
    <x:row r="62">
      <x:c r="A62" s="29" t="str">
        <x:v>Main Chassis</x:v>
      </x:c>
      <x:c r="B62" s="29" t="str">
        <x:v>Battery</x:v>
      </x:c>
      <x:c r="C62" s="29" t="str">
        <x:v>Connector envelope</x:v>
      </x:c>
      <x:c r="D62" s="29" t="str">
        <x:v>Connector body and unplugging clearance</x:v>
      </x:c>
      <x:c r="E62" s="38"/>
      <x:c r="F62" s="39" t="str">
        <x:v>mm</x:v>
      </x:c>
      <x:c r="G62" s="29" t="str">
        <x:v>Battery face</x:v>
      </x:c>
      <x:c r="H62" s="29" t="str">
        <x:v>Caliper</x:v>
      </x:c>
      <x:c r="I62" s="29" t="str"/>
    </x:row>
    <x:row r="63">
      <x:c r="A63" s="29" t="str">
        <x:v>Main Chassis</x:v>
      </x:c>
      <x:c r="B63" s="29" t="str">
        <x:v>Battery</x:v>
      </x:c>
      <x:c r="C63" s="29" t="str">
        <x:v>Wire exit position</x:v>
      </x:c>
      <x:c r="D63" s="29" t="str">
        <x:v>Wire exit point relative to battery edges</x:v>
      </x:c>
      <x:c r="E63" s="38"/>
      <x:c r="F63" s="39" t="str">
        <x:v>mm</x:v>
      </x:c>
      <x:c r="G63" s="29" t="str">
        <x:v>Battery corner datum</x:v>
      </x:c>
      <x:c r="H63" s="29" t="str">
        <x:v>Caliper</x:v>
      </x:c>
      <x:c r="I63" s="29" t="str"/>
    </x:row>
    <x:row r="64">
      <x:c r="A64" s="29" t="str">
        <x:v>Main Chassis</x:v>
      </x:c>
      <x:c r="B64" s="29" t="str">
        <x:v>Battery</x:v>
      </x:c>
      <x:c r="C64" s="29" t="str">
        <x:v>Switch/protrusion</x:v>
      </x:c>
      <x:c r="D64" s="29" t="str">
        <x:v>Any attached switch/connector protrusion</x:v>
      </x:c>
      <x:c r="E64" s="38"/>
      <x:c r="F64" s="39" t="str">
        <x:v>mm</x:v>
      </x:c>
      <x:c r="G64" s="29" t="str">
        <x:v>Battery surface</x:v>
      </x:c>
      <x:c r="H64" s="29" t="str">
        <x:v>Caliper</x:v>
      </x:c>
      <x:c r="I64" s="29" t="str"/>
    </x:row>
    <x:row r="65">
      <x:c r="A65" s="29" t="str">
        <x:v>Main Chassis</x:v>
      </x:c>
      <x:c r="B65" s="29" t="str">
        <x:v>Power switch</x:v>
      </x:c>
      <x:c r="C65" s="29" t="str">
        <x:v>Body dimensions</x:v>
      </x:c>
      <x:c r="D65" s="29" t="str">
        <x:v>L × W × H</x:v>
      </x:c>
      <x:c r="E65" s="38"/>
      <x:c r="F65" s="39" t="str">
        <x:v>mm</x:v>
      </x:c>
      <x:c r="G65" s="29" t="str">
        <x:v>Switch body</x:v>
      </x:c>
      <x:c r="H65" s="29" t="str">
        <x:v>Caliper</x:v>
      </x:c>
      <x:c r="I65" s="29" t="str"/>
    </x:row>
    <x:row r="66">
      <x:c r="A66" s="29" t="str">
        <x:v>Main Chassis</x:v>
      </x:c>
      <x:c r="B66" s="29" t="str">
        <x:v>Power switch</x:v>
      </x:c>
      <x:c r="C66" s="29" t="str">
        <x:v>Panel cutout</x:v>
      </x:c>
      <x:c r="D66" s="29" t="str">
        <x:v>Required hole/cutout size</x:v>
      </x:c>
      <x:c r="E66" s="38"/>
      <x:c r="F66" s="39" t="str">
        <x:v>mm</x:v>
      </x:c>
      <x:c r="G66" s="29" t="str">
        <x:v>Switch body</x:v>
      </x:c>
      <x:c r="H66" s="29" t="str">
        <x:v>Caliper</x:v>
      </x:c>
      <x:c r="I66" s="29" t="str"/>
    </x:row>
    <x:row r="67">
      <x:c r="A67" s="29" t="str">
        <x:v>Main Chassis</x:v>
      </x:c>
      <x:c r="B67" s="29" t="str">
        <x:v>Power switch</x:v>
      </x:c>
      <x:c r="C67" s="29" t="str">
        <x:v>Mounting interface</x:v>
      </x:c>
      <x:c r="D67" s="29" t="str">
        <x:v>Thread/tab/hole pattern</x:v>
      </x:c>
      <x:c r="E67" s="38"/>
      <x:c r="F67" s="39" t="str">
        <x:v>text</x:v>
      </x:c>
      <x:c r="G67" s="29" t="str">
        <x:v>Switch</x:v>
      </x:c>
      <x:c r="H67" s="29" t="str">
        <x:v>Visual + caliper</x:v>
      </x:c>
      <x:c r="I67" s="29" t="str"/>
    </x:row>
    <x:row r="68">
      <x:c r="A68" s="29" t="str">
        <x:v>Main Chassis</x:v>
      </x:c>
      <x:c r="B68" s="29" t="str">
        <x:v>Buck/regulator</x:v>
      </x:c>
      <x:c r="C68" s="29" t="str">
        <x:v>Board dimensions</x:v>
      </x:c>
      <x:c r="D68" s="29" t="str">
        <x:v>L × W × thickness</x:v>
      </x:c>
      <x:c r="E68" s="38"/>
      <x:c r="F68" s="39" t="str">
        <x:v>mm</x:v>
      </x:c>
      <x:c r="G68" s="29" t="str">
        <x:v>PCB edges</x:v>
      </x:c>
      <x:c r="H68" s="29" t="str">
        <x:v>Caliper</x:v>
      </x:c>
      <x:c r="I68" s="29" t="str">
        <x:v>Only if used in final power architecture.</x:v>
      </x:c>
    </x:row>
    <x:row r="69">
      <x:c r="A69" s="29" t="str">
        <x:v>Main Chassis</x:v>
      </x:c>
      <x:c r="B69" s="29" t="str">
        <x:v>Buck/regulator</x:v>
      </x:c>
      <x:c r="C69" s="29" t="str">
        <x:v>Mounting holes</x:v>
      </x:c>
      <x:c r="D69" s="29" t="str">
        <x:v>Diameter + coordinates</x:v>
      </x:c>
      <x:c r="E69" s="38"/>
      <x:c r="F69" s="39" t="str">
        <x:v>mm</x:v>
      </x:c>
      <x:c r="G69" s="29" t="str">
        <x:v>PCB corner datum</x:v>
      </x:c>
      <x:c r="H69" s="29" t="str">
        <x:v>Caliper</x:v>
      </x:c>
      <x:c r="I69" s="29" t="str"/>
    </x:row>
    <x:row r="70">
      <x:c r="A70" s="29" t="str">
        <x:v>Main Chassis</x:v>
      </x:c>
      <x:c r="B70" s="29" t="str">
        <x:v>Buck/regulator</x:v>
      </x:c>
      <x:c r="C70" s="29" t="str">
        <x:v>Terminals/connectors</x:v>
      </x:c>
      <x:c r="D70" s="29" t="str">
        <x:v>Envelope + location</x:v>
      </x:c>
      <x:c r="E70" s="38"/>
      <x:c r="F70" s="39" t="str">
        <x:v>mm</x:v>
      </x:c>
      <x:c r="G70" s="29" t="str">
        <x:v>PCB edges</x:v>
      </x:c>
      <x:c r="H70" s="29" t="str">
        <x:v>Caliper</x:v>
      </x:c>
      <x:c r="I70" s="29" t="str"/>
    </x:row>
    <x:row r="71">
      <x:c r="A71" s="29" t="str">
        <x:v>Main Chassis</x:v>
      </x:c>
      <x:c r="B71" s="29" t="str">
        <x:v>MPU6050</x:v>
      </x:c>
      <x:c r="C71" s="29" t="str">
        <x:v>PCB dimensions</x:v>
      </x:c>
      <x:c r="D71" s="29" t="str">
        <x:v>L × W × thickness</x:v>
      </x:c>
      <x:c r="E71" s="38"/>
      <x:c r="F71" s="39" t="str">
        <x:v>mm</x:v>
      </x:c>
      <x:c r="G71" s="29" t="str">
        <x:v>PCB edges</x:v>
      </x:c>
      <x:c r="H71" s="29" t="str">
        <x:v>Caliper</x:v>
      </x:c>
      <x:c r="I71" s="29" t="str"/>
    </x:row>
    <x:row r="72">
      <x:c r="A72" s="29" t="str">
        <x:v>Main Chassis</x:v>
      </x:c>
      <x:c r="B72" s="29" t="str">
        <x:v>MPU6050</x:v>
      </x:c>
      <x:c r="C72" s="29" t="str">
        <x:v>Mounting holes</x:v>
      </x:c>
      <x:c r="D72" s="29" t="str">
        <x:v>Diameter + coordinates</x:v>
      </x:c>
      <x:c r="E72" s="38"/>
      <x:c r="F72" s="39" t="str">
        <x:v>mm</x:v>
      </x:c>
      <x:c r="G72" s="29" t="str">
        <x:v>PCB corner datum</x:v>
      </x:c>
      <x:c r="H72" s="29" t="str">
        <x:v>Caliper</x:v>
      </x:c>
      <x:c r="I72" s="29" t="str"/>
    </x:row>
    <x:row r="73">
      <x:c r="A73" s="29" t="str">
        <x:v>Head/Face</x:v>
      </x:c>
      <x:c r="B73" s="29" t="str">
        <x:v>Pi Camera</x:v>
      </x:c>
      <x:c r="C73" s="29" t="str">
        <x:v>Board dimensions</x:v>
      </x:c>
      <x:c r="D73" s="29" t="str">
        <x:v>L × W × thickness</x:v>
      </x:c>
      <x:c r="E73" s="38"/>
      <x:c r="F73" s="39" t="str">
        <x:v>mm</x:v>
      </x:c>
      <x:c r="G73" s="29" t="str">
        <x:v>PCB edges</x:v>
      </x:c>
      <x:c r="H73" s="29" t="str">
        <x:v>Caliper</x:v>
      </x:c>
      <x:c r="I73" s="29" t="str">
        <x:v>Use exact camera model you retain.</x:v>
      </x:c>
    </x:row>
    <x:row r="74">
      <x:c r="A74" s="29" t="str">
        <x:v>Head/Face</x:v>
      </x:c>
      <x:c r="B74" s="29" t="str">
        <x:v>Pi Camera</x:v>
      </x:c>
      <x:c r="C74" s="29" t="str">
        <x:v>Mounting holes</x:v>
      </x:c>
      <x:c r="D74" s="29" t="str">
        <x:v>Diameter + coordinates</x:v>
      </x:c>
      <x:c r="E74" s="38"/>
      <x:c r="F74" s="39" t="str">
        <x:v>mm</x:v>
      </x:c>
      <x:c r="G74" s="29" t="str">
        <x:v>PCB corner datum</x:v>
      </x:c>
      <x:c r="H74" s="29" t="str">
        <x:v>Caliper</x:v>
      </x:c>
      <x:c r="I74" s="29" t="str"/>
    </x:row>
    <x:row r="75">
      <x:c r="A75" s="29" t="str">
        <x:v>Head/Face</x:v>
      </x:c>
      <x:c r="B75" s="29" t="str">
        <x:v>Pi Camera</x:v>
      </x:c>
      <x:c r="C75" s="29" t="str">
        <x:v>Lens center</x:v>
      </x:c>
      <x:c r="D75" s="29" t="str">
        <x:v>X/Y from board datum</x:v>
      </x:c>
      <x:c r="E75" s="38"/>
      <x:c r="F75" s="39" t="str">
        <x:v>mm</x:v>
      </x:c>
      <x:c r="G75" s="29" t="str">
        <x:v>PCB corner datum</x:v>
      </x:c>
      <x:c r="H75" s="29" t="str">
        <x:v>Caliper</x:v>
      </x:c>
      <x:c r="I75" s="29" t="str">
        <x:v>Critical for camera geometry.</x:v>
      </x:c>
    </x:row>
    <x:row r="76">
      <x:c r="A76" s="29" t="str">
        <x:v>Head/Face</x:v>
      </x:c>
      <x:c r="B76" s="29" t="str">
        <x:v>Pi Camera</x:v>
      </x:c>
      <x:c r="C76" s="29" t="str">
        <x:v>Lens protrusion</x:v>
      </x:c>
      <x:c r="D76" s="29" t="str">
        <x:v>Lens face above PCB</x:v>
      </x:c>
      <x:c r="E76" s="38"/>
      <x:c r="F76" s="39" t="str">
        <x:v>mm</x:v>
      </x:c>
      <x:c r="G76" s="29" t="str">
        <x:v>PCB plane</x:v>
      </x:c>
      <x:c r="H76" s="29" t="str">
        <x:v>Caliper</x:v>
      </x:c>
      <x:c r="I76" s="29" t="str"/>
    </x:row>
    <x:row r="77">
      <x:c r="A77" s="29" t="str">
        <x:v>Head/Face</x:v>
      </x:c>
      <x:c r="B77" s="29" t="str">
        <x:v>Pi Camera</x:v>
      </x:c>
      <x:c r="C77" s="29" t="str">
        <x:v>Cable exit/connector</x:v>
      </x:c>
      <x:c r="D77" s="29" t="str">
        <x:v>Connector position and cable bend space</x:v>
      </x:c>
      <x:c r="E77" s="38"/>
      <x:c r="F77" s="39" t="str">
        <x:v>mm</x:v>
      </x:c>
      <x:c r="G77" s="29" t="str">
        <x:v>PCB edge</x:v>
      </x:c>
      <x:c r="H77" s="29" t="str">
        <x:v>Caliper</x:v>
      </x:c>
      <x:c r="I77" s="29" t="str"/>
    </x:row>
    <x:row r="78">
      <x:c r="A78" s="29" t="str">
        <x:v>Front Sensor</x:v>
      </x:c>
      <x:c r="B78" s="29" t="str">
        <x:v>HC-SR04</x:v>
      </x:c>
      <x:c r="C78" s="29" t="str">
        <x:v>Board dimensions</x:v>
      </x:c>
      <x:c r="D78" s="29" t="str">
        <x:v>L × W × thickness</x:v>
      </x:c>
      <x:c r="E78" s="38"/>
      <x:c r="F78" s="39" t="str">
        <x:v>mm</x:v>
      </x:c>
      <x:c r="G78" s="29" t="str">
        <x:v>PCB edges</x:v>
      </x:c>
      <x:c r="H78" s="29" t="str">
        <x:v>Caliper</x:v>
      </x:c>
      <x:c r="I78" s="29" t="str"/>
    </x:row>
    <x:row r="79">
      <x:c r="A79" s="29" t="str">
        <x:v>Front Sensor</x:v>
      </x:c>
      <x:c r="B79" s="29" t="str">
        <x:v>HC-SR04</x:v>
      </x:c>
      <x:c r="C79" s="29" t="str">
        <x:v>Mounting holes</x:v>
      </x:c>
      <x:c r="D79" s="29" t="str">
        <x:v>Diameter + coordinates</x:v>
      </x:c>
      <x:c r="E79" s="38"/>
      <x:c r="F79" s="39" t="str">
        <x:v>mm</x:v>
      </x:c>
      <x:c r="G79" s="29" t="str">
        <x:v>PCB corner datum</x:v>
      </x:c>
      <x:c r="H79" s="29" t="str">
        <x:v>Caliper</x:v>
      </x:c>
      <x:c r="I79" s="29" t="str"/>
    </x:row>
    <x:row r="80">
      <x:c r="A80" s="29" t="str">
        <x:v>Front Sensor</x:v>
      </x:c>
      <x:c r="B80" s="29" t="str">
        <x:v>HC-SR04</x:v>
      </x:c>
      <x:c r="C80" s="29" t="str">
        <x:v>Transducer diameter</x:v>
      </x:c>
      <x:c r="D80" s="29" t="str">
        <x:v>Diameter of each transducer</x:v>
      </x:c>
      <x:c r="E80" s="38"/>
      <x:c r="F80" s="39" t="str">
        <x:v>mm</x:v>
      </x:c>
      <x:c r="G80" s="29" t="str">
        <x:v>Front face</x:v>
      </x:c>
      <x:c r="H80" s="29" t="str">
        <x:v>Caliper</x:v>
      </x:c>
      <x:c r="I80" s="29" t="str"/>
    </x:row>
    <x:row r="81">
      <x:c r="A81" s="29" t="str">
        <x:v>Front Sensor</x:v>
      </x:c>
      <x:c r="B81" s="29" t="str">
        <x:v>HC-SR04</x:v>
      </x:c>
      <x:c r="C81" s="29" t="str">
        <x:v>Transducer center spacing</x:v>
      </x:c>
      <x:c r="D81" s="29" t="str">
        <x:v>Center-to-center distance</x:v>
      </x:c>
      <x:c r="E81" s="38"/>
      <x:c r="F81" s="39" t="str">
        <x:v>mm</x:v>
      </x:c>
      <x:c r="G81" s="29" t="str">
        <x:v>Front face</x:v>
      </x:c>
      <x:c r="H81" s="29" t="str">
        <x:v>Caliper</x:v>
      </x:c>
      <x:c r="I81" s="29" t="str"/>
    </x:row>
    <x:row r="82">
      <x:c r="A82" s="29" t="str">
        <x:v>Front Sensor</x:v>
      </x:c>
      <x:c r="B82" s="29" t="str">
        <x:v>HC-SR04</x:v>
      </x:c>
      <x:c r="C82" s="29" t="str">
        <x:v>Transducer protrusion</x:v>
      </x:c>
      <x:c r="D82" s="29" t="str">
        <x:v>Front projection beyond PCB</x:v>
      </x:c>
      <x:c r="E82" s="38"/>
      <x:c r="F82" s="39" t="str">
        <x:v>mm</x:v>
      </x:c>
      <x:c r="G82" s="29" t="str">
        <x:v>PCB plane</x:v>
      </x:c>
      <x:c r="H82" s="29" t="str">
        <x:v>Caliper</x:v>
      </x:c>
      <x:c r="I82" s="29" t="str"/>
    </x:row>
    <x:row r="83">
      <x:c r="A83" s="29" t="str">
        <x:v>Front Sensor</x:v>
      </x:c>
      <x:c r="B83" s="29" t="str">
        <x:v>HC-SR04</x:v>
      </x:c>
      <x:c r="C83" s="29" t="str">
        <x:v>Connector position</x:v>
      </x:c>
      <x:c r="D83" s="29" t="str">
        <x:v>Header/connector envelope and location</x:v>
      </x:c>
      <x:c r="E83" s="38"/>
      <x:c r="F83" s="39" t="str">
        <x:v>mm</x:v>
      </x:c>
      <x:c r="G83" s="29" t="str">
        <x:v>PCB edge</x:v>
      </x:c>
      <x:c r="H83" s="29" t="str">
        <x:v>Caliper</x:v>
      </x:c>
      <x:c r="I83" s="29" t="str"/>
    </x:row>
    <x:row r="84">
      <x:c r="A84" s="29" t="str">
        <x:v>Edge Sensor</x:v>
      </x:c>
      <x:c r="B84" s="29" t="str">
        <x:v>IR sensor — each</x:v>
      </x:c>
      <x:c r="C84" s="29" t="str">
        <x:v>PCB dimensions</x:v>
      </x:c>
      <x:c r="D84" s="29" t="str">
        <x:v>L × W × thickness</x:v>
      </x:c>
      <x:c r="E84" s="38"/>
      <x:c r="F84" s="39" t="str">
        <x:v>mm</x:v>
      </x:c>
      <x:c r="G84" s="29" t="str">
        <x:v>PCB edges</x:v>
      </x:c>
      <x:c r="H84" s="29" t="str">
        <x:v>Caliper</x:v>
      </x:c>
      <x:c r="I84" s="29" t="str">
        <x:v>Measure one actual module if identical.</x:v>
      </x:c>
    </x:row>
    <x:row r="85">
      <x:c r="A85" s="29" t="str">
        <x:v>Edge Sensor</x:v>
      </x:c>
      <x:c r="B85" s="29" t="str">
        <x:v>IR sensor — each</x:v>
      </x:c>
      <x:c r="C85" s="29" t="str">
        <x:v>Mounting holes</x:v>
      </x:c>
      <x:c r="D85" s="29" t="str">
        <x:v>Diameter + coordinates</x:v>
      </x:c>
      <x:c r="E85" s="38"/>
      <x:c r="F85" s="39" t="str">
        <x:v>mm</x:v>
      </x:c>
      <x:c r="G85" s="29" t="str">
        <x:v>PCB corner datum</x:v>
      </x:c>
      <x:c r="H85" s="29" t="str">
        <x:v>Caliper</x:v>
      </x:c>
      <x:c r="I85" s="29" t="str"/>
    </x:row>
    <x:row r="86">
      <x:c r="A86" s="29" t="str">
        <x:v>Edge Sensor</x:v>
      </x:c>
      <x:c r="B86" s="29" t="str">
        <x:v>IR sensor — each</x:v>
      </x:c>
      <x:c r="C86" s="29" t="str">
        <x:v>Optical sensor position</x:v>
      </x:c>
      <x:c r="D86" s="29" t="str">
        <x:v>Sensor center X/Y from PCB datum</x:v>
      </x:c>
      <x:c r="E86" s="38"/>
      <x:c r="F86" s="39" t="str">
        <x:v>mm</x:v>
      </x:c>
      <x:c r="G86" s="29" t="str">
        <x:v>PCB corner datum</x:v>
      </x:c>
      <x:c r="H86" s="29" t="str">
        <x:v>Caliper</x:v>
      </x:c>
      <x:c r="I86" s="29" t="str"/>
    </x:row>
    <x:row r="87">
      <x:c r="A87" s="29" t="str">
        <x:v>Edge Sensor</x:v>
      </x:c>
      <x:c r="B87" s="29" t="str">
        <x:v>IR sensor — each</x:v>
      </x:c>
      <x:c r="C87" s="29" t="str">
        <x:v>Sensor protrusion/height</x:v>
      </x:c>
      <x:c r="D87" s="29" t="str">
        <x:v>Optical head height above PCB</x:v>
      </x:c>
      <x:c r="E87" s="38"/>
      <x:c r="F87" s="39" t="str">
        <x:v>mm</x:v>
      </x:c>
      <x:c r="G87" s="29" t="str">
        <x:v>PCB plane</x:v>
      </x:c>
      <x:c r="H87" s="29" t="str">
        <x:v>Caliper</x:v>
      </x:c>
      <x:c r="I87" s="29" t="str"/>
    </x:row>
    <x:row r="88">
      <x:c r="A88" s="29" t="str">
        <x:v>Edge Sensor</x:v>
      </x:c>
      <x:c r="B88" s="29" t="str">
        <x:v>IR sensor — each</x:v>
      </x:c>
      <x:c r="C88" s="29" t="str">
        <x:v>Connector position</x:v>
      </x:c>
      <x:c r="D88" s="29" t="str">
        <x:v>Header/connector location</x:v>
      </x:c>
      <x:c r="E88" s="38"/>
      <x:c r="F88" s="39" t="str">
        <x:v>mm</x:v>
      </x:c>
      <x:c r="G88" s="29" t="str">
        <x:v>PCB edge</x:v>
      </x:c>
      <x:c r="H88" s="29" t="str">
        <x:v>Caliper</x:v>
      </x:c>
      <x:c r="I88" s="29" t="str"/>
    </x:row>
    <x:row r="89">
      <x:c r="A89" s="29" t="str">
        <x:v>Head/Face</x:v>
      </x:c>
      <x:c r="B89" s="29" t="str">
        <x:v>TFT display</x:v>
      </x:c>
      <x:c r="C89" s="29" t="str">
        <x:v>Visible display area</x:v>
      </x:c>
      <x:c r="D89" s="29" t="str">
        <x:v>Screen L × W</x:v>
      </x:c>
      <x:c r="E89" s="38"/>
      <x:c r="F89" s="39" t="str">
        <x:v>mm</x:v>
      </x:c>
      <x:c r="G89" s="29" t="str">
        <x:v>Display front</x:v>
      </x:c>
      <x:c r="H89" s="29" t="str">
        <x:v>Caliper</x:v>
      </x:c>
      <x:c r="I89" s="29" t="str">
        <x:v>Exact model TBD; measure after selection.</x:v>
      </x:c>
    </x:row>
    <x:row r="90">
      <x:c r="A90" s="29" t="str">
        <x:v>Head/Face</x:v>
      </x:c>
      <x:c r="B90" s="29" t="str">
        <x:v>TFT display</x:v>
      </x:c>
      <x:c r="C90" s="29" t="str">
        <x:v>PCB/frame dimensions</x:v>
      </x:c>
      <x:c r="D90" s="29" t="str">
        <x:v>Overall L × W × thickness</x:v>
      </x:c>
      <x:c r="E90" s="38"/>
      <x:c r="F90" s="39" t="str">
        <x:v>mm</x:v>
      </x:c>
      <x:c r="G90" s="29" t="str">
        <x:v>Board/frame edge</x:v>
      </x:c>
      <x:c r="H90" s="29" t="str">
        <x:v>Caliper</x:v>
      </x:c>
      <x:c r="I90" s="29" t="str"/>
    </x:row>
    <x:row r="91">
      <x:c r="A91" s="29" t="str">
        <x:v>Head/Face</x:v>
      </x:c>
      <x:c r="B91" s="29" t="str">
        <x:v>TFT display</x:v>
      </x:c>
      <x:c r="C91" s="29" t="str">
        <x:v>Mounting holes/cutout</x:v>
      </x:c>
      <x:c r="D91" s="29" t="str">
        <x:v>Hole diameter + coordinates or panel cutout</x:v>
      </x:c>
      <x:c r="E91" s="38"/>
      <x:c r="F91" s="39" t="str">
        <x:v>mm</x:v>
      </x:c>
      <x:c r="G91" s="29" t="str">
        <x:v>Frame datum</x:v>
      </x:c>
      <x:c r="H91" s="29" t="str">
        <x:v>Caliper</x:v>
      </x:c>
      <x:c r="I91" s="29" t="str"/>
    </x:row>
    <x:row r="92">
      <x:c r="A92" s="29" t="str">
        <x:v>Head/Face</x:v>
      </x:c>
      <x:c r="B92" s="29" t="str">
        <x:v>TFT display</x:v>
      </x:c>
      <x:c r="C92" s="29" t="str">
        <x:v>Connector/button protrusions</x:v>
      </x:c>
      <x:c r="D92" s="29" t="str">
        <x:v>Location and keep-out</x:v>
      </x:c>
      <x:c r="E92" s="38"/>
      <x:c r="F92" s="39" t="str">
        <x:v>mm</x:v>
      </x:c>
      <x:c r="G92" s="29" t="str">
        <x:v>Frame edge</x:v>
      </x:c>
      <x:c r="H92" s="29" t="str">
        <x:v>Caliper</x:v>
      </x:c>
      <x:c r="I92" s="29" t="str"/>
    </x:row>
    <x:row r="93">
      <x:c r="A93" s="29" t="str">
        <x:v>Head/Face</x:v>
      </x:c>
      <x:c r="B93" s="29" t="str">
        <x:v>Speaker</x:v>
      </x:c>
      <x:c r="C93" s="29" t="str">
        <x:v>Speaker diameter/size</x:v>
      </x:c>
      <x:c r="D93" s="29" t="str">
        <x:v>Round diameter or L × W</x:v>
      </x:c>
      <x:c r="E93" s="38"/>
      <x:c r="F93" s="39" t="str">
        <x:v>mm</x:v>
      </x:c>
      <x:c r="G93" s="29" t="str">
        <x:v>Speaker front</x:v>
      </x:c>
      <x:c r="H93" s="29" t="str">
        <x:v>Caliper</x:v>
      </x:c>
      <x:c r="I93" s="29" t="str">
        <x:v>Exact model TBD.</x:v>
      </x:c>
    </x:row>
    <x:row r="94">
      <x:c r="A94" s="29" t="str">
        <x:v>Head/Face</x:v>
      </x:c>
      <x:c r="B94" s="29" t="str">
        <x:v>Speaker</x:v>
      </x:c>
      <x:c r="C94" s="29" t="str">
        <x:v>Speaker depth</x:v>
      </x:c>
      <x:c r="D94" s="29" t="str">
        <x:v>Mounting face to rear</x:v>
      </x:c>
      <x:c r="E94" s="38"/>
      <x:c r="F94" s="39" t="str">
        <x:v>mm</x:v>
      </x:c>
      <x:c r="G94" s="29" t="str">
        <x:v>Speaker axis</x:v>
      </x:c>
      <x:c r="H94" s="29" t="str">
        <x:v>Caliper</x:v>
      </x:c>
      <x:c r="I94" s="29" t="str"/>
    </x:row>
    <x:row r="95">
      <x:c r="A95" s="29" t="str">
        <x:v>Head/Face</x:v>
      </x:c>
      <x:c r="B95" s="29" t="str">
        <x:v>Speaker</x:v>
      </x:c>
      <x:c r="C95" s="29" t="str">
        <x:v>Mounting pattern</x:v>
      </x:c>
      <x:c r="D95" s="29" t="str">
        <x:v>Hole diameter + spacing</x:v>
      </x:c>
      <x:c r="E95" s="38"/>
      <x:c r="F95" s="39" t="str">
        <x:v>mm</x:v>
      </x:c>
      <x:c r="G95" s="29" t="str">
        <x:v>Mounting face</x:v>
      </x:c>
      <x:c r="H95" s="29" t="str">
        <x:v>Caliper</x:v>
      </x:c>
      <x:c r="I95" s="29" t="str"/>
    </x:row>
    <x:row r="96">
      <x:c r="A96" s="29" t="str">
        <x:v>Head/Face</x:v>
      </x:c>
      <x:c r="B96" s="29" t="str">
        <x:v>Speaker</x:v>
      </x:c>
      <x:c r="C96" s="29" t="str">
        <x:v>Wire exit</x:v>
      </x:c>
      <x:c r="D96" s="29" t="str">
        <x:v>Wire/terminal location</x:v>
      </x:c>
      <x:c r="E96" s="38"/>
      <x:c r="F96" s="39" t="str">
        <x:v>mm</x:v>
      </x:c>
      <x:c r="G96" s="29" t="str">
        <x:v>Speaker rear</x:v>
      </x:c>
      <x:c r="H96" s="29" t="str">
        <x:v>Caliper</x:v>
      </x:c>
      <x:c r="I96" s="29" t="str"/>
    </x:row>
    <x:row r="97">
      <x:c r="A97" s="29" t="str">
        <x:v>Head/Face</x:v>
      </x:c>
      <x:c r="B97" s="29" t="str">
        <x:v>Microphone</x:v>
      </x:c>
      <x:c r="C97" s="29" t="str">
        <x:v>PCB dimensions</x:v>
      </x:c>
      <x:c r="D97" s="29" t="str">
        <x:v>L × W × thickness</x:v>
      </x:c>
      <x:c r="E97" s="38"/>
      <x:c r="F97" s="39" t="str">
        <x:v>mm</x:v>
      </x:c>
      <x:c r="G97" s="29" t="str">
        <x:v>PCB edges</x:v>
      </x:c>
      <x:c r="H97" s="29" t="str">
        <x:v>Caliper</x:v>
      </x:c>
      <x:c r="I97" s="29" t="str">
        <x:v>Exact model TBD.</x:v>
      </x:c>
    </x:row>
    <x:row r="98">
      <x:c r="A98" s="29" t="str">
        <x:v>Head/Face</x:v>
      </x:c>
      <x:c r="B98" s="29" t="str">
        <x:v>Microphone</x:v>
      </x:c>
      <x:c r="C98" s="29" t="str">
        <x:v>Mounting holes</x:v>
      </x:c>
      <x:c r="D98" s="29" t="str">
        <x:v>Diameter + coordinates if present</x:v>
      </x:c>
      <x:c r="E98" s="38"/>
      <x:c r="F98" s="39" t="str">
        <x:v>mm</x:v>
      </x:c>
      <x:c r="G98" s="29" t="str">
        <x:v>PCB corner datum</x:v>
      </x:c>
      <x:c r="H98" s="29" t="str">
        <x:v>Caliper</x:v>
      </x:c>
      <x:c r="I98" s="29" t="str"/>
    </x:row>
    <x:row r="99">
      <x:c r="A99" s="29" t="str">
        <x:v>Head/Face</x:v>
      </x:c>
      <x:c r="B99" s="29" t="str">
        <x:v>Microphone</x:v>
      </x:c>
      <x:c r="C99" s="29" t="str">
        <x:v>Mic opening position</x:v>
      </x:c>
      <x:c r="D99" s="29" t="str">
        <x:v>Opening/element X/Y</x:v>
      </x:c>
      <x:c r="E99" s="38"/>
      <x:c r="F99" s="39" t="str">
        <x:v>mm</x:v>
      </x:c>
      <x:c r="G99" s="29" t="str">
        <x:v>PCB corner datum</x:v>
      </x:c>
      <x:c r="H99" s="29" t="str">
        <x:v>Caliper</x:v>
      </x:c>
      <x:c r="I99" s="29" t="str"/>
    </x:row>
    <x:row r="100">
      <x:c r="A100" s="29" t="str">
        <x:v>Head/Face</x:v>
      </x:c>
      <x:c r="B100" s="29" t="str">
        <x:v>Microphone</x:v>
      </x:c>
      <x:c r="C100" s="29" t="str">
        <x:v>Connector position</x:v>
      </x:c>
      <x:c r="D100" s="29" t="str">
        <x:v>Header/wire location</x:v>
      </x:c>
      <x:c r="E100" s="38"/>
      <x:c r="F100" s="39" t="str">
        <x:v>mm</x:v>
      </x:c>
      <x:c r="G100" s="29" t="str">
        <x:v>PCB edge</x:v>
      </x:c>
      <x:c r="H100" s="29" t="str">
        <x:v>Caliper</x:v>
      </x:c>
      <x:c r="I100" s="29" t="str"/>
    </x:row>
    <x:row r="101">
      <x:c r="A101" s="29" t="str">
        <x:v>Left Arm</x:v>
      </x:c>
      <x:c r="B101" s="29" t="str">
        <x:v>Servo — Left</x:v>
      </x:c>
      <x:c r="C101" s="29" t="str">
        <x:v>Body dimensions</x:v>
      </x:c>
      <x:c r="D101" s="29" t="str">
        <x:v>L × W × H</x:v>
      </x:c>
      <x:c r="E101" s="38"/>
      <x:c r="F101" s="39" t="str">
        <x:v>mm</x:v>
      </x:c>
      <x:c r="G101" s="29" t="str">
        <x:v>Servo body</x:v>
      </x:c>
      <x:c r="H101" s="29" t="str">
        <x:v>Caliper</x:v>
      </x:c>
      <x:c r="I101" s="29" t="str"/>
    </x:row>
    <x:row r="102">
      <x:c r="A102" s="29" t="str">
        <x:v>Left Arm</x:v>
      </x:c>
      <x:c r="B102" s="29" t="str">
        <x:v>Servo — Left</x:v>
      </x:c>
      <x:c r="C102" s="29" t="str">
        <x:v>Mounting tab/hole geometry</x:v>
      </x:c>
      <x:c r="D102" s="29" t="str">
        <x:v>Hole diameter + spacing + tabs</x:v>
      </x:c>
      <x:c r="E102" s="38"/>
      <x:c r="F102" s="39" t="str">
        <x:v>mm</x:v>
      </x:c>
      <x:c r="G102" s="29" t="str">
        <x:v>Servo mounting face</x:v>
      </x:c>
      <x:c r="H102" s="29" t="str">
        <x:v>Caliper</x:v>
      </x:c>
      <x:c r="I102" s="29" t="str"/>
    </x:row>
    <x:row r="103">
      <x:c r="A103" s="29" t="str">
        <x:v>Left Arm</x:v>
      </x:c>
      <x:c r="B103" s="29" t="str">
        <x:v>Servo — Left</x:v>
      </x:c>
      <x:c r="C103" s="29" t="str">
        <x:v>Shaft diameter</x:v>
      </x:c>
      <x:c r="D103" s="29" t="str">
        <x:v>Output shaft diameter</x:v>
      </x:c>
      <x:c r="E103" s="38"/>
      <x:c r="F103" s="39" t="str">
        <x:v>mm</x:v>
      </x:c>
      <x:c r="G103" s="29" t="str">
        <x:v>Shaft axis</x:v>
      </x:c>
      <x:c r="H103" s="29" t="str">
        <x:v>Caliper</x:v>
      </x:c>
      <x:c r="I103" s="29" t="str"/>
    </x:row>
    <x:row r="104">
      <x:c r="A104" s="29" t="str">
        <x:v>Left Arm</x:v>
      </x:c>
      <x:c r="B104" s="29" t="str">
        <x:v>Servo — Left</x:v>
      </x:c>
      <x:c r="C104" s="29" t="str">
        <x:v>Shaft center height</x:v>
      </x:c>
      <x:c r="D104" s="29" t="str">
        <x:v>Mount face to shaft axis</x:v>
      </x:c>
      <x:c r="E104" s="38"/>
      <x:c r="F104" s="39" t="str">
        <x:v>mm</x:v>
      </x:c>
      <x:c r="G104" s="29" t="str">
        <x:v>Servo mounting face</x:v>
      </x:c>
      <x:c r="H104" s="29" t="str">
        <x:v>Caliper</x:v>
      </x:c>
      <x:c r="I104" s="29" t="str"/>
    </x:row>
    <x:row r="105">
      <x:c r="A105" s="29" t="str">
        <x:v>Left Arm</x:v>
      </x:c>
      <x:c r="B105" s="29" t="str">
        <x:v>Servo — Left</x:v>
      </x:c>
      <x:c r="C105" s="29" t="str">
        <x:v>Connector/wire exit</x:v>
      </x:c>
      <x:c r="D105" s="29" t="str">
        <x:v>Location and keep-out</x:v>
      </x:c>
      <x:c r="E105" s="38"/>
      <x:c r="F105" s="39" t="str">
        <x:v>mm</x:v>
      </x:c>
      <x:c r="G105" s="29" t="str">
        <x:v>Servo body</x:v>
      </x:c>
      <x:c r="H105" s="29" t="str">
        <x:v>Caliper</x:v>
      </x:c>
      <x:c r="I105" s="29" t="str"/>
    </x:row>
    <x:row r="106">
      <x:c r="A106" s="29" t="str">
        <x:v>Right Arm</x:v>
      </x:c>
      <x:c r="B106" s="29" t="str">
        <x:v>Servo — Right</x:v>
      </x:c>
      <x:c r="C106" s="29" t="str">
        <x:v>Body dimensions</x:v>
      </x:c>
      <x:c r="D106" s="29" t="str">
        <x:v>L × W × H</x:v>
      </x:c>
      <x:c r="E106" s="38"/>
      <x:c r="F106" s="39" t="str">
        <x:v>mm</x:v>
      </x:c>
      <x:c r="G106" s="29" t="str">
        <x:v>Servo body</x:v>
      </x:c>
      <x:c r="H106" s="29" t="str">
        <x:v>Caliper</x:v>
      </x:c>
      <x:c r="I106" s="29" t="str"/>
    </x:row>
    <x:row r="107">
      <x:c r="A107" s="29" t="str">
        <x:v>Right Arm</x:v>
      </x:c>
      <x:c r="B107" s="29" t="str">
        <x:v>Servo — Right</x:v>
      </x:c>
      <x:c r="C107" s="29" t="str">
        <x:v>Mounting tab/hole geometry</x:v>
      </x:c>
      <x:c r="D107" s="29" t="str">
        <x:v>Hole diameter + spacing + tabs</x:v>
      </x:c>
      <x:c r="E107" s="38"/>
      <x:c r="F107" s="39" t="str">
        <x:v>mm</x:v>
      </x:c>
      <x:c r="G107" s="29" t="str">
        <x:v>Servo mounting face</x:v>
      </x:c>
      <x:c r="H107" s="29" t="str">
        <x:v>Caliper</x:v>
      </x:c>
      <x:c r="I107" s="29" t="str"/>
    </x:row>
    <x:row r="108">
      <x:c r="A108" s="29" t="str">
        <x:v>Right Arm</x:v>
      </x:c>
      <x:c r="B108" s="29" t="str">
        <x:v>Servo — Right</x:v>
      </x:c>
      <x:c r="C108" s="29" t="str">
        <x:v>Shaft diameter</x:v>
      </x:c>
      <x:c r="D108" s="29" t="str">
        <x:v>Output shaft diameter</x:v>
      </x:c>
      <x:c r="E108" s="38"/>
      <x:c r="F108" s="39" t="str">
        <x:v>mm</x:v>
      </x:c>
      <x:c r="G108" s="29" t="str">
        <x:v>Shaft axis</x:v>
      </x:c>
      <x:c r="H108" s="29" t="str">
        <x:v>Caliper</x:v>
      </x:c>
      <x:c r="I108" s="29" t="str"/>
    </x:row>
    <x:row r="109">
      <x:c r="A109" s="29" t="str">
        <x:v>Right Arm</x:v>
      </x:c>
      <x:c r="B109" s="29" t="str">
        <x:v>Servo — Right</x:v>
      </x:c>
      <x:c r="C109" s="29" t="str">
        <x:v>Shaft center height</x:v>
      </x:c>
      <x:c r="D109" s="29" t="str">
        <x:v>Mount face to shaft axis</x:v>
      </x:c>
      <x:c r="E109" s="38"/>
      <x:c r="F109" s="39" t="str">
        <x:v>mm</x:v>
      </x:c>
      <x:c r="G109" s="29" t="str">
        <x:v>Servo mounting face</x:v>
      </x:c>
      <x:c r="H109" s="29" t="str">
        <x:v>Caliper</x:v>
      </x:c>
      <x:c r="I109" s="29" t="str"/>
    </x:row>
    <x:row r="110">
      <x:c r="A110" s="29" t="str">
        <x:v>Right Arm</x:v>
      </x:c>
      <x:c r="B110" s="29" t="str">
        <x:v>Servo — Right</x:v>
      </x:c>
      <x:c r="C110" s="29" t="str">
        <x:v>Connector/wire exit</x:v>
      </x:c>
      <x:c r="D110" s="29" t="str">
        <x:v>Location and keep-out</x:v>
      </x:c>
      <x:c r="E110" s="38"/>
      <x:c r="F110" s="39" t="str">
        <x:v>mm</x:v>
      </x:c>
      <x:c r="G110" s="29" t="str">
        <x:v>Servo body</x:v>
      </x:c>
      <x:c r="H110" s="29" t="str">
        <x:v>Caliper</x:v>
      </x:c>
      <x:c r="I110" s="29" t="str"/>
    </x:row>
    <x:row r="111">
      <x:c r="A111" s="29"/>
      <x:c r="B111" s="29"/>
      <x:c r="C111" s="29"/>
      <x:c r="D111" s="29"/>
      <x:c r="E111" s="38"/>
      <x:c r="F111" s="39"/>
      <x:c r="G111" s="29"/>
      <x:c r="H111" s="29"/>
      <x:c r="I111" s="29"/>
      <x:c r="J111"/>
      <x:c r="K111"/>
      <x:c r="L111"/>
    </x:row>
    <x:row r="112">
      <x:c r="A112" s="29"/>
      <x:c r="B112" s="29"/>
      <x:c r="C112" s="29"/>
      <x:c r="D112" s="29"/>
      <x:c r="E112" s="38"/>
      <x:c r="F112" s="39"/>
      <x:c r="G112" s="29"/>
      <x:c r="H112" s="29"/>
      <x:c r="I112" s="29"/>
      <x:c r="J112"/>
      <x:c r="K112"/>
      <x:c r="L112"/>
    </x:row>
    <x:row r="113">
      <x:c r="A113" s="29"/>
      <x:c r="B113" s="29"/>
      <x:c r="C113" s="29"/>
      <x:c r="D113" s="29"/>
      <x:c r="E113" s="38"/>
      <x:c r="F113" s="39"/>
      <x:c r="G113" s="29"/>
      <x:c r="H113" s="29"/>
      <x:c r="I113" s="29"/>
      <x:c r="J113"/>
      <x:c r="K113"/>
      <x:c r="L113"/>
    </x:row>
    <x:row r="114">
      <x:c r="A114" s="29"/>
      <x:c r="B114" s="29"/>
      <x:c r="C114" s="29"/>
      <x:c r="D114" s="29"/>
      <x:c r="E114" s="38"/>
      <x:c r="F114" s="39"/>
      <x:c r="G114" s="29"/>
      <x:c r="H114" s="29"/>
      <x:c r="I114" s="29"/>
      <x:c r="J114"/>
      <x:c r="K114"/>
      <x:c r="L114"/>
    </x:row>
    <x:row r="115">
      <x:c r="A115" s="29"/>
      <x:c r="B115" s="29"/>
      <x:c r="C115" s="29"/>
      <x:c r="D115" s="29"/>
      <x:c r="E115" s="38"/>
      <x:c r="F115" s="39"/>
      <x:c r="G115" s="29"/>
      <x:c r="H115" s="29"/>
      <x:c r="I115" s="29"/>
      <x:c r="J115"/>
      <x:c r="K115"/>
      <x:c r="L115"/>
    </x:row>
    <x:row r="116">
      <x:c r="A116" s="29"/>
      <x:c r="B116" s="29"/>
      <x:c r="C116" s="29"/>
      <x:c r="D116" s="29"/>
      <x:c r="E116" s="38"/>
      <x:c r="F116" s="39"/>
      <x:c r="G116" s="29"/>
      <x:c r="H116" s="29"/>
      <x:c r="I116" s="29"/>
      <x:c r="J116"/>
      <x:c r="K116"/>
      <x:c r="L116"/>
    </x:row>
    <x:row r="117">
      <x:c r="A117" s="29"/>
      <x:c r="B117" s="29"/>
      <x:c r="C117" s="29"/>
      <x:c r="D117" s="29"/>
      <x:c r="E117" s="38"/>
      <x:c r="F117" s="39"/>
      <x:c r="G117" s="29"/>
      <x:c r="H117" s="29"/>
      <x:c r="I117" s="29"/>
      <x:c r="J117"/>
      <x:c r="K117"/>
      <x:c r="L117"/>
    </x:row>
    <x:row r="118">
      <x:c r="A118" s="29"/>
      <x:c r="B118" s="29"/>
      <x:c r="C118" s="29"/>
      <x:c r="D118" s="29"/>
      <x:c r="E118" s="38"/>
      <x:c r="F118" s="39"/>
      <x:c r="G118" s="29"/>
      <x:c r="H118" s="29"/>
      <x:c r="I118" s="29"/>
      <x:c r="J118"/>
      <x:c r="K118"/>
      <x:c r="L118"/>
    </x:row>
  </x:sheetData>
  <x:mergeCells>
    <x:mergeCell ref="A1:I1"/>
    <x:mergeCell ref="A2:I2"/>
  </x:mergeCells>
  <x:conditionalFormatting sqref="E5:E118">
    <x:cfRule type="expression" dxfId="0" priority="1">
      <x:formula>E5=""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2f853df07c43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20" hidden="0" customWidth="1"/>
    <x:col min="5" max="5" width="10" hidden="0" customWidth="1"/>
    <x:col min="6" max="6" width="31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28" customHeight="1">
      <x:c r="A1" s="48" t="str">
        <x:v>Derived / Decided Design Parameters</x:v>
      </x:c>
      <x:c r="B1" s="48"/>
      <x:c r="C1" s="48"/>
      <x:c r="D1" s="48"/>
      <x:c r="E1" s="48"/>
      <x:c r="F1" s="48"/>
      <x:c r="G1" s="48"/>
      <x:c r="H1" s="48"/>
      <x:c r="I1" s="48"/>
    </x:row>
    <x:row r="2" ht="34" customHeight="1">
      <x:c r="A2" s="12" t="str">
        <x:v>These are NOT hardware measurements. Fill them after Sheet 1. Some are derived from measured components; others are deliberate engineering choices for the final robot. Keep this sheet as the single source of truth for chassis-level design parameters.</x:v>
      </x:c>
      <x:c r="B2" s="12"/>
      <x:c r="C2" s="12"/>
      <x:c r="D2" s="12"/>
      <x:c r="E2" s="12"/>
      <x:c r="F2" s="12"/>
      <x:c r="G2" s="12"/>
      <x:c r="H2" s="12"/>
      <x:c r="I2" s="12"/>
    </x:row>
    <x:row r="4" ht="34" customHeight="1">
      <x:c r="A4" s="20" t="str">
        <x:v>Category</x:v>
      </x:c>
      <x:c r="B4" s="20" t="str">
        <x:v>Parameter</x:v>
      </x:c>
      <x:c r="C4" s="20" t="str">
        <x:v>Type</x:v>
      </x:c>
      <x:c r="D4" s="20" t="str">
        <x:v>Value</x:v>
      </x:c>
      <x:c r="E4" s="20" t="str">
        <x:v>Unit</x:v>
      </x:c>
      <x:c r="F4" s="20" t="str">
        <x:v>Depends on / input</x:v>
      </x:c>
      <x:c r="G4" s="20" t="str">
        <x:v>How to derive / decide</x:v>
      </x:c>
      <x:c r="H4" s="20" t="str">
        <x:v>Final-model intent</x:v>
      </x:c>
      <x:c r="I4" s="20" t="str">
        <x:v>Status</x:v>
      </x:c>
    </x:row>
    <x:row r="5">
      <x:c r="A5" s="29" t="str">
        <x:v>Global</x:v>
      </x:c>
      <x:c r="B5" s="29" t="str">
        <x:v>Coordinate convention</x:v>
      </x:c>
      <x:c r="C5" s="29" t="str">
        <x:v>Decide</x:v>
      </x:c>
      <x:c r="D5" s="35" t="str">
        <x:v>X forward / Y left / Z up</x:v>
      </x:c>
      <x:c r="E5" s="29" t="str">
        <x:v>text</x:v>
      </x:c>
      <x:c r="F5" s="29" t="str">
        <x:v>CAD convention</x:v>
      </x:c>
      <x:c r="G5" s="29" t="str">
        <x:v>Set once and never change</x:v>
      </x:c>
      <x:c r="H5" s="29" t="str">
        <x:v>Used by all module location sheets</x:v>
      </x:c>
      <x:c r="I5" s="29" t="str">
        <x:v>Decided</x:v>
      </x:c>
    </x:row>
    <x:row r="6">
      <x:c r="A6" s="29" t="str">
        <x:v>Global</x:v>
      </x:c>
      <x:c r="B6" s="29" t="str">
        <x:v>Main chassis outer length</x:v>
      </x:c>
      <x:c r="C6" s="29" t="str">
        <x:v>Derived/Decide</x:v>
      </x:c>
      <x:c r="D6" s="35" t="str"/>
      <x:c r="E6" s="29" t="str">
        <x:v>mm</x:v>
      </x:c>
      <x:c r="F6" s="29" t="str">
        <x:v>Motor + wheel + electronics envelopes</x:v>
      </x:c>
      <x:c r="G6" s="29" t="str">
        <x:v>Allow all required hardware plus service clearance</x:v>
      </x:c>
      <x:c r="H6" s="29" t="str">
        <x:v>Large enough for full V1–V4 hardware</x:v>
      </x:c>
      <x:c r="I6" s="29" t="str">
        <x:v>To decide</x:v>
      </x:c>
    </x:row>
    <x:row r="7">
      <x:c r="A7" s="29" t="str">
        <x:v>Global</x:v>
      </x:c>
      <x:c r="B7" s="29" t="str">
        <x:v>Main chassis outer width</x:v>
      </x:c>
      <x:c r="C7" s="29" t="str">
        <x:v>Derived/Decide</x:v>
      </x:c>
      <x:c r="D7" s="35" t="str"/>
      <x:c r="E7" s="29" t="str">
        <x:v>mm</x:v>
      </x:c>
      <x:c r="F7" s="29" t="str">
        <x:v>Motor, wheels, arm interfaces</x:v>
      </x:c>
      <x:c r="G7" s="29" t="str">
        <x:v>Width must clear wheel envelopes and future arms</x:v>
      </x:c>
      <x:c r="H7" s="29" t="str">
        <x:v>Stable desk footprint</x:v>
      </x:c>
      <x:c r="I7" s="29" t="str">
        <x:v>To decide</x:v>
      </x:c>
    </x:row>
    <x:row r="8">
      <x:c r="A8" s="29" t="str">
        <x:v>Global</x:v>
      </x:c>
      <x:c r="B8" s="29" t="str">
        <x:v>Main chassis overall height</x:v>
      </x:c>
      <x:c r="C8" s="29" t="str">
        <x:v>Derived/Decide</x:v>
      </x:c>
      <x:c r="D8" s="35" t="str"/>
      <x:c r="E8" s="29" t="str">
        <x:v>mm</x:v>
      </x:c>
      <x:c r="F8" s="29" t="str">
        <x:v>Pi, camera/head module, electronics</x:v>
      </x:c>
      <x:c r="G8" s="29" t="str">
        <x:v>Keep low while reserving future face/arms</x:v>
      </x:c>
      <x:c r="H8" s="29" t="str">
        <x:v>Final complete robot envelope</x:v>
      </x:c>
      <x:c r="I8" s="29" t="str">
        <x:v>To decide</x:v>
      </x:c>
    </x:row>
    <x:row r="9">
      <x:c r="A9" s="29" t="str">
        <x:v>Global</x:v>
      </x:c>
      <x:c r="B9" s="29" t="str">
        <x:v>Chassis base thickness</x:v>
      </x:c>
      <x:c r="C9" s="29" t="str">
        <x:v>Decide</x:v>
      </x:c>
      <x:c r="D9" s="35" t="str"/>
      <x:c r="E9" s="29" t="str">
        <x:v>mm</x:v>
      </x:c>
      <x:c r="F9" s="29" t="str">
        <x:v>Print method + strength</x:v>
      </x:c>
      <x:c r="G9" s="29" t="str">
        <x:v>Choose from print process and stiffness requirement</x:v>
      </x:c>
      <x:c r="H9" s="29" t="str">
        <x:v>Rigid base without excess weight</x:v>
      </x:c>
      <x:c r="I9" s="29" t="str">
        <x:v>To decide</x:v>
      </x:c>
    </x:row>
    <x:row r="10">
      <x:c r="A10" s="29" t="str">
        <x:v>Global</x:v>
      </x:c>
      <x:c r="B10" s="29" t="str">
        <x:v>Top plate thickness</x:v>
      </x:c>
      <x:c r="C10" s="29" t="str">
        <x:v>Decide</x:v>
      </x:c>
      <x:c r="D10" s="35" t="str"/>
      <x:c r="E10" s="29" t="str">
        <x:v>mm</x:v>
      </x:c>
      <x:c r="F10" s="29" t="str">
        <x:v>Print method + hardware</x:v>
      </x:c>
      <x:c r="G10" s="29" t="str">
        <x:v>Choose standard printable thickness</x:v>
      </x:c>
      <x:c r="H10" s="29" t="str">
        <x:v>Removable serviceable top</x:v>
      </x:c>
      <x:c r="I10" s="29" t="str">
        <x:v>To decide</x:v>
      </x:c>
    </x:row>
    <x:row r="11">
      <x:c r="A11" s="29" t="str">
        <x:v>Global</x:v>
      </x:c>
      <x:c r="B11" s="29" t="str">
        <x:v>General press-fit/clearance allowance</x:v>
      </x:c>
      <x:c r="C11" s="29" t="str">
        <x:v>Decide</x:v>
      </x:c>
      <x:c r="D11" s="35" t="str"/>
      <x:c r="E11" s="29" t="str">
        <x:v>mm</x:v>
      </x:c>
      <x:c r="F11" s="29" t="str">
        <x:v>Printer accuracy</x:v>
      </x:c>
      <x:c r="G11" s="29" t="str">
        <x:v>Set based on test prints</x:v>
      </x:c>
      <x:c r="H11" s="29" t="str">
        <x:v>Consistent part fit</x:v>
      </x:c>
      <x:c r="I11" s="29" t="str">
        <x:v>To decide</x:v>
      </x:c>
    </x:row>
    <x:row r="12">
      <x:c r="A12" s="29" t="str">
        <x:v>Global</x:v>
      </x:c>
      <x:c r="B12" s="29" t="str">
        <x:v>Screw standard</x:v>
      </x:c>
      <x:c r="C12" s="29" t="str">
        <x:v>Decide</x:v>
      </x:c>
      <x:c r="D12" s="35" t="str">
        <x:v>M3</x:v>
      </x:c>
      <x:c r="E12" s="29" t="str">
        <x:v>text</x:v>
      </x:c>
      <x:c r="F12" s="29" t="str">
        <x:v>Available hardware + CAD library</x:v>
      </x:c>
      <x:c r="G12" s="29" t="str">
        <x:v>Prefer one standard for most chassis fasteners</x:v>
      </x:c>
      <x:c r="H12" s="29" t="str">
        <x:v>Easy assembly/maintenance</x:v>
      </x:c>
      <x:c r="I12" s="29" t="str">
        <x:v>Proposed</x:v>
      </x:c>
    </x:row>
    <x:row r="13">
      <x:c r="A13" s="29" t="str">
        <x:v>Drive</x:v>
      </x:c>
      <x:c r="B13" s="29" t="str">
        <x:v>Wheel diameter (final chosen)</x:v>
      </x:c>
      <x:c r="C13" s="29" t="str">
        <x:v>Derived from measured part</x:v>
      </x:c>
      <x:c r="D13" s="35" t="str"/>
      <x:c r="E13" s="29" t="str">
        <x:v>mm</x:v>
      </x:c>
      <x:c r="F13" s="29" t="str">
        <x:v>Measured wheel OD</x:v>
      </x:c>
      <x:c r="G13" s="29" t="str">
        <x:v>Use actual wheel, not a guessed value</x:v>
      </x:c>
      <x:c r="H13" s="29" t="str">
        <x:v>Defines ground clearance and travel per revolution</x:v>
      </x:c>
      <x:c r="I13" s="29" t="str">
        <x:v>To derive</x:v>
      </x:c>
    </x:row>
    <x:row r="14">
      <x:c r="A14" s="29" t="str">
        <x:v>Drive</x:v>
      </x:c>
      <x:c r="B14" s="29" t="str">
        <x:v>Track width (wheel center-to-center)</x:v>
      </x:c>
      <x:c r="C14" s="29" t="str">
        <x:v>Derived</x:v>
      </x:c>
      <x:c r="D14" s="35" t="str"/>
      <x:c r="E14" s="29" t="str">
        <x:v>mm</x:v>
      </x:c>
      <x:c r="F14" s="29" t="str">
        <x:v>Chassis width + wheel clearance</x:v>
      </x:c>
      <x:c r="G14" s="29" t="str">
        <x:v>Choose for stability and turning behavior</x:v>
      </x:c>
      <x:c r="H14" s="29" t="str">
        <x:v>Balanced differential-drive geometry</x:v>
      </x:c>
      <x:c r="I14" s="29" t="str">
        <x:v>To derive</x:v>
      </x:c>
    </x:row>
    <x:row r="15">
      <x:c r="A15" s="29" t="str">
        <x:v>Drive</x:v>
      </x:c>
      <x:c r="B15" s="29" t="str">
        <x:v>Drive axle longitudinal position</x:v>
      </x:c>
      <x:c r="C15" s="29" t="str">
        <x:v>Derived</x:v>
      </x:c>
      <x:c r="D15" s="35" t="str"/>
      <x:c r="E15" s="29" t="str">
        <x:v>mm</x:v>
      </x:c>
      <x:c r="F15" s="29" t="str">
        <x:v>Chassis length + center of mass</x:v>
      </x:c>
      <x:c r="G15" s="29" t="str">
        <x:v>Place near robot center of mass</x:v>
      </x:c>
      <x:c r="H15" s="29" t="str">
        <x:v>Predictable turning</x:v>
      </x:c>
      <x:c r="I15" s="29" t="str">
        <x:v>To derive</x:v>
      </x:c>
    </x:row>
    <x:row r="16">
      <x:c r="A16" s="29" t="str">
        <x:v>Drive</x:v>
      </x:c>
      <x:c r="B16" s="29" t="str">
        <x:v>Caster location</x:v>
      </x:c>
      <x:c r="C16" s="29" t="str">
        <x:v>Derived</x:v>
      </x:c>
      <x:c r="D16" s="35" t="str"/>
      <x:c r="E16" s="29" t="str">
        <x:v>mm</x:v>
      </x:c>
      <x:c r="F16" s="29" t="str">
        <x:v>Chassis footprint + wheel axle</x:v>
      </x:c>
      <x:c r="G16" s="29" t="str">
        <x:v>Position to support chassis while minimizing scrub</x:v>
      </x:c>
      <x:c r="H16" s="29" t="str">
        <x:v>Stable 3-point support</x:v>
      </x:c>
      <x:c r="I16" s="29" t="str">
        <x:v>To derive</x:v>
      </x:c>
    </x:row>
    <x:row r="17">
      <x:c r="A17" s="29" t="str">
        <x:v>Drive</x:v>
      </x:c>
      <x:c r="B17" s="29" t="str">
        <x:v>Ground clearance</x:v>
      </x:c>
      <x:c r="C17" s="29" t="str">
        <x:v>Decide</x:v>
      </x:c>
      <x:c r="D17" s="35" t="str"/>
      <x:c r="E17" s="29" t="str">
        <x:v>mm</x:v>
      </x:c>
      <x:c r="F17" s="29" t="str">
        <x:v>Wheel radius + sensor clearance</x:v>
      </x:c>
      <x:c r="G17" s="29" t="str">
        <x:v>Must clear desk and protect underside sensors</x:v>
      </x:c>
      <x:c r="H17" s="29" t="str">
        <x:v>Enough for edge-sensor placement</x:v>
      </x:c>
      <x:c r="I17" s="29" t="str">
        <x:v>To decide</x:v>
      </x:c>
    </x:row>
    <x:row r="18">
      <x:c r="A18" s="29" t="str">
        <x:v>Drive</x:v>
      </x:c>
      <x:c r="B18" s="29" t="str">
        <x:v>Target center-of-mass zone</x:v>
      </x:c>
      <x:c r="C18" s="29" t="str">
        <x:v>Decide</x:v>
      </x:c>
      <x:c r="D18" s="35" t="str">
        <x:v>Low + near drive axle, centered laterally</x:v>
      </x:c>
      <x:c r="E18" s="29" t="str">
        <x:v>text</x:v>
      </x:c>
      <x:c r="F18" s="29" t="str">
        <x:v>Battery + Pi + L298N placement</x:v>
      </x:c>
      <x:c r="G18" s="29" t="str">
        <x:v>Keep heavy components low/central</x:v>
      </x:c>
      <x:c r="H18" s="29" t="str">
        <x:v>Stable and smooth desk motion</x:v>
      </x:c>
      <x:c r="I18" s="29" t="str">
        <x:v>Proposed</x:v>
      </x:c>
    </x:row>
    <x:row r="19">
      <x:c r="A19" s="29" t="str">
        <x:v>Electronics</x:v>
      </x:c>
      <x:c r="B19" s="29" t="str">
        <x:v>Pi placement</x:v>
      </x:c>
      <x:c r="C19" s="29" t="str">
        <x:v>Decide</x:v>
      </x:c>
      <x:c r="D19" s="35" t="str">
        <x:v>Central/rear electronics bay</x:v>
      </x:c>
      <x:c r="E19" s="29" t="str">
        <x:v>text</x:v>
      </x:c>
      <x:c r="F19" s="29" t="str">
        <x:v>Pi connectors + battery + L298N</x:v>
      </x:c>
      <x:c r="G19" s="29" t="str">
        <x:v>Keep GPIO/camera access and cooling</x:v>
      </x:c>
      <x:c r="H19" s="29" t="str">
        <x:v>Easy service + short signal routing</x:v>
      </x:c>
      <x:c r="I19" s="29" t="str">
        <x:v>Proposed</x:v>
      </x:c>
    </x:row>
    <x:row r="20">
      <x:c r="A20" s="29" t="str">
        <x:v>Electronics</x:v>
      </x:c>
      <x:c r="B20" s="29" t="str">
        <x:v>L298N placement</x:v>
      </x:c>
      <x:c r="C20" s="29" t="str">
        <x:v>Decide</x:v>
      </x:c>
      <x:c r="D20" s="35" t="str">
        <x:v>Near motors, isolated from Pi air path</x:v>
      </x:c>
      <x:c r="E20" s="29" t="str">
        <x:v>text</x:v>
      </x:c>
      <x:c r="F20" s="29" t="str">
        <x:v>Motor wire routing + heatsink</x:v>
      </x:c>
      <x:c r="G20" s="29" t="str">
        <x:v>Minimize high-current wire length</x:v>
      </x:c>
      <x:c r="H20" s="29" t="str">
        <x:v>Accessible terminals and ventilation</x:v>
      </x:c>
      <x:c r="I20" s="29" t="str">
        <x:v>Proposed</x:v>
      </x:c>
    </x:row>
    <x:row r="21">
      <x:c r="A21" s="29" t="str">
        <x:v>Electronics</x:v>
      </x:c>
      <x:c r="B21" s="29" t="str">
        <x:v>Battery placement</x:v>
      </x:c>
      <x:c r="C21" s="29" t="str">
        <x:v>Decide</x:v>
      </x:c>
      <x:c r="D21" s="35" t="str">
        <x:v>Low + central</x:v>
      </x:c>
      <x:c r="E21" s="29" t="str">
        <x:v>text</x:v>
      </x:c>
      <x:c r="F21" s="29" t="str">
        <x:v>Battery envelope + center of mass</x:v>
      </x:c>
      <x:c r="G21" s="29" t="str">
        <x:v>Reserve secure retention and removal path</x:v>
      </x:c>
      <x:c r="H21" s="29" t="str">
        <x:v>Lowest practical center of mass</x:v>
      </x:c>
      <x:c r="I21" s="29" t="str">
        <x:v>Proposed</x:v>
      </x:c>
    </x:row>
    <x:row r="22">
      <x:c r="A22" s="29" t="str">
        <x:v>Electronics</x:v>
      </x:c>
      <x:c r="B22" s="29" t="str">
        <x:v>MPU6050 placement</x:v>
      </x:c>
      <x:c r="C22" s="29" t="str">
        <x:v>Decide</x:v>
      </x:c>
      <x:c r="D22" s="35" t="str">
        <x:v>Rigidly mounted near chassis center</x:v>
      </x:c>
      <x:c r="E22" s="29" t="str">
        <x:v>text</x:v>
      </x:c>
      <x:c r="F22" s="29" t="str">
        <x:v>IMU dimensions + vibration</x:v>
      </x:c>
      <x:c r="G22" s="29" t="str">
        <x:v>Keep rigid, known orientation, away from flexible mounts</x:v>
      </x:c>
      <x:c r="H22" s="29" t="str">
        <x:v>Good odometry/turning reference</x:v>
      </x:c>
      <x:c r="I22" s="29" t="str">
        <x:v>Proposed</x:v>
      </x:c>
    </x:row>
    <x:row r="23">
      <x:c r="A23" s="29" t="str">
        <x:v>Electronics</x:v>
      </x:c>
      <x:c r="B23" s="29" t="str">
        <x:v>Electronics service access</x:v>
      </x:c>
      <x:c r="C23" s="29" t="str">
        <x:v>Decide</x:v>
      </x:c>
      <x:c r="D23" s="35" t="str">
        <x:v>Removable top panel</x:v>
      </x:c>
      <x:c r="E23" s="29" t="str">
        <x:v>text</x:v>
      </x:c>
      <x:c r="F23" s="29" t="str">
        <x:v>All internal components</x:v>
      </x:c>
      <x:c r="G23" s="29" t="str">
        <x:v>Fastener-accessed lid/plate</x:v>
      </x:c>
      <x:c r="H23" s="29" t="str">
        <x:v>No full disassembly for maintenance</x:v>
      </x:c>
      <x:c r="I23" s="29" t="str">
        <x:v>Decided</x:v>
      </x:c>
    </x:row>
    <x:row r="24">
      <x:c r="A24" s="29" t="str">
        <x:v>Head</x:v>
      </x:c>
      <x:c r="B24" s="29" t="str">
        <x:v>Head/face module attachment height</x:v>
      </x:c>
      <x:c r="C24" s="29" t="str">
        <x:v>Decide</x:v>
      </x:c>
      <x:c r="D24" s="35" t="str"/>
      <x:c r="E24" s="29" t="str">
        <x:v>mm</x:v>
      </x:c>
      <x:c r="F24" s="29" t="str">
        <x:v>Camera/screen field of view + robot height</x:v>
      </x:c>
      <x:c r="G24" s="29" t="str">
        <x:v>Balance visibility and low center of mass</x:v>
      </x:c>
      <x:c r="H24" s="29" t="str">
        <x:v>Detachable upper module</x:v>
      </x:c>
      <x:c r="I24" s="29" t="str">
        <x:v>To decide</x:v>
      </x:c>
    </x:row>
    <x:row r="25">
      <x:c r="A25" s="29" t="str">
        <x:v>Head</x:v>
      </x:c>
      <x:c r="B25" s="29" t="str">
        <x:v>Camera height above desk</x:v>
      </x:c>
      <x:c r="C25" s="29" t="str">
        <x:v>Derived</x:v>
      </x:c>
      <x:c r="D25" s="35" t="str"/>
      <x:c r="E25" s="29" t="str">
        <x:v>mm</x:v>
      </x:c>
      <x:c r="F25" s="29" t="str">
        <x:v>Head attachment + camera mount</x:v>
      </x:c>
      <x:c r="G25" s="29" t="str">
        <x:v>Set for useful obstacle/object field of view</x:v>
      </x:c>
      <x:c r="H25" s="29" t="str">
        <x:v>Adjustable camera pitch</x:v>
      </x:c>
      <x:c r="I25" s="29" t="str">
        <x:v>To derive</x:v>
      </x:c>
    </x:row>
    <x:row r="26">
      <x:c r="A26" s="29" t="str">
        <x:v>Head</x:v>
      </x:c>
      <x:c r="B26" s="29" t="str">
        <x:v>Camera pitch/tilt range</x:v>
      </x:c>
      <x:c r="C26" s="29" t="str">
        <x:v>Decide</x:v>
      </x:c>
      <x:c r="D26" s="35" t="str"/>
      <x:c r="E26" s="29" t="str">
        <x:v>deg</x:v>
      </x:c>
      <x:c r="F26" s="29" t="str">
        <x:v>Perception needs</x:v>
      </x:c>
      <x:c r="G26" s="29" t="str">
        <x:v>Use slotted/hinged camera mount</x:v>
      </x:c>
      <x:c r="H26" s="29" t="str">
        <x:v>Adjustable during testing</x:v>
      </x:c>
      <x:c r="I26" s="29" t="str">
        <x:v>To decide</x:v>
      </x:c>
    </x:row>
    <x:row r="27">
      <x:c r="A27" s="29" t="str">
        <x:v>Head</x:v>
      </x:c>
      <x:c r="B27" s="29" t="str">
        <x:v>TFT viewing angle</x:v>
      </x:c>
      <x:c r="C27" s="29" t="str">
        <x:v>Decide</x:v>
      </x:c>
      <x:c r="D27" s="35" t="str"/>
      <x:c r="E27" s="29" t="str">
        <x:v>deg</x:v>
      </x:c>
      <x:c r="F27" s="29" t="str">
        <x:v>User ergonomics</x:v>
      </x:c>
      <x:c r="G27" s="29" t="str">
        <x:v>Angle toward user while preserving stability</x:v>
      </x:c>
      <x:c r="H27" s="29" t="str">
        <x:v>Readable face/eyes</x:v>
      </x:c>
      <x:c r="I27" s="29" t="str">
        <x:v>To decide</x:v>
      </x:c>
    </x:row>
    <x:row r="28">
      <x:c r="A28" s="29" t="str">
        <x:v>Head</x:v>
      </x:c>
      <x:c r="B28" s="29" t="str">
        <x:v>Speaker grille/opening</x:v>
      </x:c>
      <x:c r="C28" s="29" t="str">
        <x:v>Derived</x:v>
      </x:c>
      <x:c r="D28" s="35" t="str"/>
      <x:c r="E28" s="29" t="str">
        <x:v>mm</x:v>
      </x:c>
      <x:c r="F28" s="29" t="str">
        <x:v>Speaker dimensions</x:v>
      </x:c>
      <x:c r="G28" s="29" t="str">
        <x:v>Clear acoustic path</x:v>
      </x:c>
      <x:c r="H28" s="29" t="str">
        <x:v>No blockage by shell</x:v>
      </x:c>
      <x:c r="I28" s="29" t="str">
        <x:v>To derive</x:v>
      </x:c>
    </x:row>
    <x:row r="29">
      <x:c r="A29" s="29" t="str">
        <x:v>Head</x:v>
      </x:c>
      <x:c r="B29" s="29" t="str">
        <x:v>Microphone acoustic opening</x:v>
      </x:c>
      <x:c r="C29" s="29" t="str">
        <x:v>Derived</x:v>
      </x:c>
      <x:c r="D29" s="35" t="str"/>
      <x:c r="E29" s="29" t="str">
        <x:v>mm</x:v>
      </x:c>
      <x:c r="F29" s="29" t="str">
        <x:v>Mic dimensions + acoustic path</x:v>
      </x:c>
      <x:c r="G29" s="29" t="str">
        <x:v>Keep port exposed and away from motor noise</x:v>
      </x:c>
      <x:c r="H29" s="29" t="str">
        <x:v>Voice input works reliably</x:v>
      </x:c>
      <x:c r="I29" s="29" t="str">
        <x:v>To derive</x:v>
      </x:c>
    </x:row>
    <x:row r="30">
      <x:c r="A30" s="29" t="str">
        <x:v>Front Sensor</x:v>
      </x:c>
      <x:c r="B30" s="29" t="str">
        <x:v>HC-SR04 height</x:v>
      </x:c>
      <x:c r="C30" s="29" t="str">
        <x:v>Derived</x:v>
      </x:c>
      <x:c r="D30" s="35" t="str"/>
      <x:c r="E30" s="29" t="str">
        <x:v>mm</x:v>
      </x:c>
      <x:c r="F30" s="29" t="str">
        <x:v>Sensor envelope + chassis ground clearance</x:v>
      </x:c>
      <x:c r="G30" s="29" t="str">
        <x:v>Mount above deck but within desired obstacle zone</x:v>
      </x:c>
      <x:c r="H30" s="29" t="str">
        <x:v>Primary short-range obstacle sensor</x:v>
      </x:c>
      <x:c r="I30" s="29" t="str">
        <x:v>To derive</x:v>
      </x:c>
    </x:row>
    <x:row r="31">
      <x:c r="A31" s="29" t="str">
        <x:v>Front Sensor</x:v>
      </x:c>
      <x:c r="B31" s="29" t="str">
        <x:v>HC-SR04 pitch</x:v>
      </x:c>
      <x:c r="C31" s="29" t="str">
        <x:v>Decide</x:v>
      </x:c>
      <x:c r="D31" s="35" t="str">
        <x:v>Horizontal</x:v>
      </x:c>
      <x:c r="E31" s="29" t="str">
        <x:v>deg</x:v>
      </x:c>
      <x:c r="F31" s="29" t="str">
        <x:v>Obstacle-avoidance geometry</x:v>
      </x:c>
      <x:c r="G31" s="29" t="str">
        <x:v>Aim parallel to desk plane unless testing shows otherwise</x:v>
      </x:c>
      <x:c r="H31" s="29" t="str">
        <x:v>Reliable front ranging</x:v>
      </x:c>
      <x:c r="I31" s="29" t="str">
        <x:v>Proposed</x:v>
      </x:c>
    </x:row>
    <x:row r="32">
      <x:c r="A32" s="29" t="str">
        <x:v>Edge Sensor</x:v>
      </x:c>
      <x:c r="B32" s="29" t="str">
        <x:v>Number of IR sensors</x:v>
      </x:c>
      <x:c r="C32" s="29" t="str">
        <x:v>Decide</x:v>
      </x:c>
      <x:c r="D32" s="35" t="n">
        <x:v>3</x:v>
      </x:c>
      <x:c r="E32" s="29" t="str">
        <x:v>count</x:v>
      </x:c>
      <x:c r="F32" s="29" t="str">
        <x:v>MVP safety</x:v>
      </x:c>
      <x:c r="G32" s="29" t="str">
        <x:v>Front-left, front-center, front-right</x:v>
      </x:c>
      <x:c r="H32" s="29" t="str">
        <x:v>Redundant desk-edge detection</x:v>
      </x:c>
      <x:c r="I32" s="29" t="str">
        <x:v>Decided</x:v>
      </x:c>
    </x:row>
    <x:row r="33">
      <x:c r="A33" s="29" t="str">
        <x:v>Edge Sensor</x:v>
      </x:c>
      <x:c r="B33" s="29" t="str">
        <x:v>IR sensor height above desk</x:v>
      </x:c>
      <x:c r="C33" s="29" t="str">
        <x:v>Derived</x:v>
      </x:c>
      <x:c r="D33" s="35" t="str"/>
      <x:c r="E33" s="29" t="str">
        <x:v>mm</x:v>
      </x:c>
      <x:c r="F33" s="29" t="str">
        <x:v>IR sensor geometry + chassis underside</x:v>
      </x:c>
      <x:c r="G33" s="29" t="str">
        <x:v>Set after sensor test on actual desk surface</x:v>
      </x:c>
      <x:c r="H33" s="29" t="str">
        <x:v>Detect desk surface vs void</x:v>
      </x:c>
      <x:c r="I33" s="29" t="str">
        <x:v>To derive</x:v>
      </x:c>
    </x:row>
    <x:row r="34">
      <x:c r="A34" s="29" t="str">
        <x:v>Edge Sensor</x:v>
      </x:c>
      <x:c r="B34" s="29" t="str">
        <x:v>IR sensor lateral spacing</x:v>
      </x:c>
      <x:c r="C34" s="29" t="str">
        <x:v>Derived</x:v>
      </x:c>
      <x:c r="D34" s="35" t="str"/>
      <x:c r="E34" s="29" t="str">
        <x:v>mm</x:v>
      </x:c>
      <x:c r="F34" s="29" t="str">
        <x:v>Robot width + sensor FOV</x:v>
      </x:c>
      <x:c r="G34" s="29" t="str">
        <x:v>Cover front footprint with overlap</x:v>
      </x:c>
      <x:c r="H34" s="29" t="str">
        <x:v>Catch left/center/right edge cases</x:v>
      </x:c>
      <x:c r="I34" s="29" t="str">
        <x:v>To derive</x:v>
      </x:c>
    </x:row>
    <x:row r="35">
      <x:c r="A35" s="29" t="str">
        <x:v>Edge Sensor</x:v>
      </x:c>
      <x:c r="B35" s="29" t="str">
        <x:v>IR sensor front inset</x:v>
      </x:c>
      <x:c r="C35" s="29" t="str">
        <x:v>Derived</x:v>
      </x:c>
      <x:c r="D35" s="35" t="str"/>
      <x:c r="E35" s="29" t="str">
        <x:v>mm</x:v>
      </x:c>
      <x:c r="F35" s="29" t="str">
        <x:v>Chassis nose + stopping distance</x:v>
      </x:c>
      <x:c r="G35" s="29" t="str">
        <x:v>Place sensors sufficiently forward for reaction time</x:v>
      </x:c>
      <x:c r="H35" s="29" t="str">
        <x:v>Detect edge before wheel overhang</x:v>
      </x:c>
      <x:c r="I35" s="29" t="str">
        <x:v>To derive</x:v>
      </x:c>
    </x:row>
    <x:row r="36">
      <x:c r="A36" s="29" t="str">
        <x:v>Arms</x:v>
      </x:c>
      <x:c r="B36" s="29" t="str">
        <x:v>Left-arm attachment point</x:v>
      </x:c>
      <x:c r="C36" s="29" t="str">
        <x:v>Derived</x:v>
      </x:c>
      <x:c r="D36" s="35" t="str"/>
      <x:c r="E36" s="29" t="str">
        <x:v>mm</x:v>
      </x:c>
      <x:c r="F36" s="29" t="str">
        <x:v>Servo geometry + head/body envelope</x:v>
      </x:c>
      <x:c r="G36" s="29" t="str">
        <x:v>Choose shoulder point that avoids wheel and head interference</x:v>
      </x:c>
      <x:c r="H36" s="29" t="str">
        <x:v>Detachable arm interface</x:v>
      </x:c>
      <x:c r="I36" s="29" t="str">
        <x:v>To derive</x:v>
      </x:c>
    </x:row>
    <x:row r="37">
      <x:c r="A37" s="29" t="str">
        <x:v>Arms</x:v>
      </x:c>
      <x:c r="B37" s="29" t="str">
        <x:v>Right-arm attachment point</x:v>
      </x:c>
      <x:c r="C37" s="29" t="str">
        <x:v>Derived</x:v>
      </x:c>
      <x:c r="D37" s="35" t="str"/>
      <x:c r="E37" s="29" t="str">
        <x:v>mm</x:v>
      </x:c>
      <x:c r="F37" s="29" t="str">
        <x:v>Servo geometry + head/body envelope</x:v>
      </x:c>
      <x:c r="G37" s="29" t="str">
        <x:v>Mirror left where practical</x:v>
      </x:c>
      <x:c r="H37" s="29" t="str">
        <x:v>Detachable arm interface</x:v>
      </x:c>
      <x:c r="I37" s="29" t="str">
        <x:v>To derive</x:v>
      </x:c>
    </x:row>
    <x:row r="38">
      <x:c r="A38" s="29" t="str">
        <x:v>Arms</x:v>
      </x:c>
      <x:c r="B38" s="29" t="str">
        <x:v>Servo axis height</x:v>
      </x:c>
      <x:c r="C38" s="29" t="str">
        <x:v>Derived</x:v>
      </x:c>
      <x:c r="D38" s="35" t="str"/>
      <x:c r="E38" s="29" t="str">
        <x:v>mm</x:v>
      </x:c>
      <x:c r="F38" s="29" t="str">
        <x:v>Servo measurements + arm sweep</x:v>
      </x:c>
      <x:c r="G38" s="29" t="str">
        <x:v>Set for desired resting pose</x:v>
      </x:c>
      <x:c r="H38" s="29" t="str">
        <x:v>Symmetric expressive movement</x:v>
      </x:c>
      <x:c r="I38" s="29" t="str">
        <x:v>To derive</x:v>
      </x:c>
    </x:row>
    <x:row r="39">
      <x:c r="A39" s="29" t="str">
        <x:v>Arms</x:v>
      </x:c>
      <x:c r="B39" s="29" t="str">
        <x:v>Maximum arm swept envelope</x:v>
      </x:c>
      <x:c r="C39" s="29" t="str">
        <x:v>Derived</x:v>
      </x:c>
      <x:c r="D39" s="35" t="str"/>
      <x:c r="E39" s="29" t="str">
        <x:v>mm</x:v>
      </x:c>
      <x:c r="F39" s="29" t="str">
        <x:v>Servo travel + arm dimensions</x:v>
      </x:c>
      <x:c r="G39" s="29" t="str">
        <x:v>Calculate from kinematics</x:v>
      </x:c>
      <x:c r="H39" s="29" t="str">
        <x:v>Must never hit desk unnecessarily</x:v>
      </x:c>
      <x:c r="I39" s="29" t="str">
        <x:v>To derive</x:v>
      </x:c>
    </x:row>
    <x:row r="40">
      <x:c r="A40" s="29" t="str">
        <x:v>Manufacturing</x:v>
      </x:c>
      <x:c r="B40" s="29" t="str">
        <x:v>Motor bracket source</x:v>
      </x:c>
      <x:c r="C40" s="29" t="str">
        <x:v>Decide</x:v>
      </x:c>
      <x:c r="D40" s="35" t="str">
        <x:v>Use existing generic printable bracket if interface matches</x:v>
      </x:c>
      <x:c r="E40" s="29" t="str">
        <x:v>text</x:v>
      </x:c>
      <x:c r="F40" s="29" t="str">
        <x:v>Actual motor dimensions</x:v>
      </x:c>
      <x:c r="G40" s="29" t="str">
        <x:v>Import generic STEP/STL and design chassis around interface</x:v>
      </x:c>
      <x:c r="H40" s="29" t="str">
        <x:v>Avoid reinventing standard hardware</x:v>
      </x:c>
      <x:c r="I40" s="29" t="str">
        <x:v>Proposed</x:v>
      </x:c>
    </x:row>
    <x:row r="41">
      <x:c r="A41" s="29" t="str">
        <x:v>Manufacturing</x:v>
      </x:c>
      <x:c r="B41" s="29" t="str">
        <x:v>Fastener model source</x:v>
      </x:c>
      <x:c r="C41" s="29" t="str">
        <x:v>Decide</x:v>
      </x:c>
      <x:c r="D41" s="35" t="str">
        <x:v>Use standard CAD fasteners</x:v>
      </x:c>
      <x:c r="E41" s="29" t="str">
        <x:v>text</x:v>
      </x:c>
      <x:c r="F41" s="29" t="str">
        <x:v>Chosen M3 or final standard</x:v>
      </x:c>
      <x:c r="G41" s="29" t="str">
        <x:v>Use CAD library standard content</x:v>
      </x:c>
      <x:c r="H41" s="29" t="str">
        <x:v>No custom screw geometry</x:v>
      </x:c>
      <x:c r="I41" s="29" t="str">
        <x:v>Proposed</x:v>
      </x:c>
    </x:row>
    <x:row r="42">
      <x:c r="A42" s="29" t="str">
        <x:v>Manufacturing</x:v>
      </x:c>
      <x:c r="B42" s="29" t="str">
        <x:v>Material</x:v>
      </x:c>
      <x:c r="C42" s="29" t="str">
        <x:v>Decide</x:v>
      </x:c>
      <x:c r="D42" s="35" t="str">
        <x:v>PLA initially; PETG later if needed</x:v>
      </x:c>
      <x:c r="E42" s="29" t="str">
        <x:v>text</x:v>
      </x:c>
      <x:c r="F42" s="29" t="str">
        <x:v>Printer/material available</x:v>
      </x:c>
      <x:c r="G42" s="29" t="str">
        <x:v>Start with easy prototype material</x:v>
      </x:c>
      <x:c r="H42" s="29" t="str">
        <x:v>Final body optimized after tests</x:v>
      </x:c>
      <x:c r="I42" s="29" t="str">
        <x:v>Proposed</x:v>
      </x:c>
    </x:row>
    <x:row r="43">
      <x:c r="A43" s="29" t="str">
        <x:v>Manufacturing</x:v>
      </x:c>
      <x:c r="B43" s="29" t="str">
        <x:v>Print wall count</x:v>
      </x:c>
      <x:c r="C43" s="29" t="str">
        <x:v>Decide</x:v>
      </x:c>
      <x:c r="D43" s="35" t="str"/>
      <x:c r="E43" s="29" t="str">
        <x:v>count</x:v>
      </x:c>
      <x:c r="F43" s="29" t="str">
        <x:v>Material + strength</x:v>
      </x:c>
      <x:c r="G43" s="29" t="str">
        <x:v>Tune with motor-mount test piece</x:v>
      </x:c>
      <x:c r="H43" s="29" t="str">
        <x:v>Strong mounting zones</x:v>
      </x:c>
      <x:c r="I43" s="29" t="str">
        <x:v>To decide</x:v>
      </x:c>
    </x:row>
    <x:row r="44">
      <x:c r="A44" s="29" t="str">
        <x:v>Manufacturing</x:v>
      </x:c>
      <x:c r="B44" s="29" t="str">
        <x:v>Print infill</x:v>
      </x:c>
      <x:c r="C44" s="29" t="str">
        <x:v>Decide</x:v>
      </x:c>
      <x:c r="D44" s="35" t="str"/>
      <x:c r="E44" s="29" t="str">
        <x:v>%</x:v>
      </x:c>
      <x:c r="F44" s="29" t="str">
        <x:v>Material + stiffness</x:v>
      </x:c>
      <x:c r="G44" s="29" t="str">
        <x:v>Use moderate infill; reinforce mounts locally</x:v>
      </x:c>
      <x:c r="H44" s="29" t="str">
        <x:v>Avoid unnecessary weight</x:v>
      </x:c>
      <x:c r="I44" s="29" t="str">
        <x:v>To decide</x:v>
      </x:c>
    </x:row>
    <x:row r="45">
      <x:c r="A45" s="29" t="str">
        <x:v>Safety</x:v>
      </x:c>
      <x:c r="B45" s="29" t="str">
        <x:v>Physical E-stop location</x:v>
      </x:c>
      <x:c r="C45" s="29" t="str">
        <x:v>Decide</x:v>
      </x:c>
      <x:c r="D45" s="35" t="str">
        <x:v>Externally accessible</x:v>
      </x:c>
      <x:c r="E45" s="29" t="str">
        <x:v>text</x:v>
      </x:c>
      <x:c r="F45" s="29" t="str">
        <x:v>Whole robot</x:v>
      </x:c>
      <x:c r="G45" s="29" t="str">
        <x:v>Place where it can be hit immediately</x:v>
      </x:c>
      <x:c r="H45" s="29" t="str">
        <x:v>Required before autonomous desk testing</x:v>
      </x:c>
      <x:c r="I45" s="29" t="str">
        <x:v>Decided</x:v>
      </x:c>
    </x:row>
    <x:row r="46">
      <x:c r="A46" s="29" t="str">
        <x:v>Safety</x:v>
      </x:c>
      <x:c r="B46" s="29" t="str">
        <x:v>No-go zone around wheel sweep</x:v>
      </x:c>
      <x:c r="C46" s="29" t="str">
        <x:v>Derived</x:v>
      </x:c>
      <x:c r="D46" s="35" t="str"/>
      <x:c r="E46" s="29" t="str">
        <x:v>mm</x:v>
      </x:c>
      <x:c r="F46" s="29" t="str">
        <x:v>Wheel dimensions</x:v>
      </x:c>
      <x:c r="G46" s="29" t="str">
        <x:v>Add clearance around full wheel rotation</x:v>
      </x:c>
      <x:c r="H46" s="29" t="str">
        <x:v>No chassis rubbing</x:v>
      </x:c>
      <x:c r="I46" s="29" t="str">
        <x:v>To derive</x:v>
      </x:c>
    </x:row>
    <x:row r="47">
      <x:c r="A47" s="29" t="str">
        <x:v>Safety</x:v>
      </x:c>
      <x:c r="B47" s="29" t="str">
        <x:v>Cable minimum bend/service loop</x:v>
      </x:c>
      <x:c r="C47" s="29" t="str">
        <x:v>Decide</x:v>
      </x:c>
      <x:c r="D47" s="35" t="str"/>
      <x:c r="E47" s="29" t="str">
        <x:v>mm</x:v>
      </x:c>
      <x:c r="F47" s="29" t="str">
        <x:v>Connector types</x:v>
      </x:c>
      <x:c r="G47" s="29" t="str">
        <x:v>Reserve bend radius + service slack</x:v>
      </x:c>
      <x:c r="H47" s="29" t="str">
        <x:v>Prevent cable strain</x:v>
      </x:c>
      <x:c r="I47" s="29" t="str">
        <x:v>To decide</x:v>
      </x:c>
    </x:row>
    <x:row r="48">
      <x:c r="A48" t="str">
        <x:v>Arms</x:v>
      </x:c>
      <x:c r="B48" t="str">
        <x:v>Left arm construction</x:v>
      </x:c>
      <x:c r="C48" t="str">
        <x:v>Decide</x:v>
      </x:c>
      <x:c r="D48" t="str">
        <x:v>Custom 3D-printed arm</x:v>
      </x:c>
      <x:c r="E48" t="str">
        <x:v>text</x:v>
      </x:c>
      <x:c r="F48" t="str">
        <x:v>Servo interface + desired expressive motion</x:v>
      </x:c>
      <x:c r="G48" t="str">
        <x:v>Design the arm as a printed part; no physical arm measurement is required before CAD.</x:v>
      </x:c>
      <x:c r="H48" t="str">
        <x:v>Final model uses replaceable printed left arm</x:v>
      </x:c>
      <x:c r="I48" t="str">
        <x:v>Decided</x:v>
      </x:c>
    </x:row>
    <x:row r="49">
      <x:c r="A49" t="str">
        <x:v>Arms</x:v>
      </x:c>
      <x:c r="B49" t="str">
        <x:v>Right arm construction</x:v>
      </x:c>
      <x:c r="C49" t="str">
        <x:v>Decide</x:v>
      </x:c>
      <x:c r="D49" t="str">
        <x:v>Custom 3D-printed arm</x:v>
      </x:c>
      <x:c r="E49" t="str">
        <x:v>text</x:v>
      </x:c>
      <x:c r="F49" t="str">
        <x:v>Servo interface + left/right symmetry</x:v>
      </x:c>
      <x:c r="G49" t="str">
        <x:v>Mirror the left-arm design where practical; no physical arm measurement is required before CAD.</x:v>
      </x:c>
      <x:c r="H49" t="str">
        <x:v>Final model uses replaceable printed right arm</x:v>
      </x:c>
      <x:c r="I49" t="str">
        <x:v>Decided</x:v>
      </x:c>
    </x:row>
    <x:row r="50">
      <x:c r="A50" t="str">
        <x:v>Arms</x:v>
      </x:c>
      <x:c r="B50" t="str">
        <x:v>Printed arm dimensions</x:v>
      </x:c>
      <x:c r="C50" t="str">
        <x:v>Derived/Decide</x:v>
      </x:c>
      <x:c r="D50" t="str">
        <x:v>—</x:v>
      </x:c>
      <x:c r="E50" t="str">
        <x:v>mm</x:v>
      </x:c>
      <x:c r="F50" t="str">
        <x:v>Servo dimensions + desired reach + desk clearance</x:v>
      </x:c>
      <x:c r="G50" t="str">
        <x:v>Choose arm length, link thickness, width and joint geometry from the motion/clearance requirements; verify in CAD.</x:v>
      </x:c>
      <x:c r="H50" t="str">
        <x:v>Strong, lightweight expressive arms</x:v>
      </x:c>
      <x:c r="I50" t="str">
        <x:v>To decide</x:v>
      </x:c>
    </x:row>
    <x:row r="51">
      <x:c r="A51" t="str">
        <x:v>Arms</x:v>
      </x:c>
      <x:c r="B51" t="str">
        <x:v>Left arm mounting interface</x:v>
      </x:c>
      <x:c r="C51" t="str">
        <x:v>Derived/Decide</x:v>
      </x:c>
      <x:c r="D51" t="str">
        <x:v>—</x:v>
      </x:c>
      <x:c r="E51" t="str">
        <x:v>mm / pattern</x:v>
      </x:c>
      <x:c r="F51" t="str">
        <x:v>Servo mounting geometry + chassis side interface</x:v>
      </x:c>
      <x:c r="G51" t="str">
        <x:v>Create the printed mount around the selected servo's real mounting dimensions.</x:v>
      </x:c>
      <x:c r="H51" t="str">
        <x:v>Detachable left-arm module</x:v>
      </x:c>
      <x:c r="I51" t="str">
        <x:v>To derive</x:v>
      </x:c>
    </x:row>
    <x:row r="52">
      <x:c r="A52" t="str">
        <x:v>Arms</x:v>
      </x:c>
      <x:c r="B52" t="str">
        <x:v>Right arm mounting interface</x:v>
      </x:c>
      <x:c r="C52" t="str">
        <x:v>Derived/Decide</x:v>
      </x:c>
      <x:c r="D52" t="str">
        <x:v>—</x:v>
      </x:c>
      <x:c r="E52" t="str">
        <x:v>mm / pattern</x:v>
      </x:c>
      <x:c r="F52" t="str">
        <x:v>Servo mounting geometry + chassis side interface</x:v>
      </x:c>
      <x:c r="G52" t="str">
        <x:v>Mirror/adapt the left interface to preserve symmetry and serviceability.</x:v>
      </x:c>
      <x:c r="H52" t="str">
        <x:v>Detachable right-arm module</x:v>
      </x:c>
      <x:c r="I52" t="str">
        <x:v>To derive</x:v>
      </x:c>
    </x:row>
    <x:row r="53">
      <x:c r="A53" t="str">
        <x:v>Drive</x:v>
      </x:c>
      <x:c r="B53" t="str">
        <x:v>Caster source</x:v>
      </x:c>
      <x:c r="C53" t="str">
        <x:v>Decide</x:v>
      </x:c>
      <x:c r="D53" t="str">
        <x:v>Open-source CAD/STL model</x:v>
      </x:c>
      <x:c r="E53" t="str">
        <x:v>text</x:v>
      </x:c>
      <x:c r="F53" t="str">
        <x:v>Final support/load/space requirements</x:v>
      </x:c>
      <x:c r="G53" t="str">
        <x:v>Select an existing open-source caster model instead of designing/measuring one from scratch; import its CAD geometry.</x:v>
      </x:c>
      <x:c r="H53" t="str">
        <x:v>Standardized replaceable 3-point support</x:v>
      </x:c>
      <x:c r="I53" t="str">
        <x:v>Decided</x:v>
      </x:c>
    </x:row>
    <x:row r="54">
      <x:c r="A54" t="str">
        <x:v>Drive</x:v>
      </x:c>
      <x:c r="B54" t="str">
        <x:v>Caster selection criteria</x:v>
      </x:c>
      <x:c r="C54" t="str">
        <x:v>Decide</x:v>
      </x:c>
      <x:c r="D54" t="str">
        <x:v>—</x:v>
      </x:c>
      <x:c r="E54" t="str">
        <x:v>text</x:v>
      </x:c>
      <x:c r="F54" t="str">
        <x:v>Robot mass + chassis clearance + turning behavior</x:v>
      </x:c>
      <x:c r="G54" t="str">
        <x:v>Choose model by load capacity, support height, contact size, mounting footprint and low swivel resistance.</x:v>
      </x:c>
      <x:c r="H54" t="str">
        <x:v>Stable differential-drive support</x:v>
      </x:c>
      <x:c r="I54" t="str">
        <x:v>To decide</x:v>
      </x:c>
    </x:row>
    <x:row r="55">
      <x:c r="A55" t="str">
        <x:v>Drive</x:v>
      </x:c>
      <x:c r="B55" t="str">
        <x:v>Caster final geometry</x:v>
      </x:c>
      <x:c r="C55" t="str">
        <x:v>Derived</x:v>
      </x:c>
      <x:c r="D55" t="str">
        <x:v>—</x:v>
      </x:c>
      <x:c r="E55" t="str">
        <x:v>mm</x:v>
      </x:c>
      <x:c r="F55" t="str">
        <x:v>Selected open-source caster CAD model</x:v>
      </x:c>
      <x:c r="G55" t="str">
        <x:v>Use the exact imported model dimensions; derive chassis clearance and mounting position from it.</x:v>
      </x:c>
      <x:c r="H55" t="str">
        <x:v>No user measurement required; CAD model is source of truth</x:v>
      </x:c>
      <x:c r="I55" t="str">
        <x:v>To derive</x:v>
      </x:c>
    </x:row>
  </x:sheetData>
  <x:mergeCells>
    <x:mergeCell ref="A1:I1"/>
    <x:mergeCell ref="A2:I2"/>
  </x:mergeCells>
  <x:dataValidations count="1">
    <x:dataValidation type="list" sqref="I5:I47">
      <x:formula1>"To decide,To derive,Proposed,Decided,Finalized"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9ba024195849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1 — Main Chassis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Final model: all permanently housed/attached drive and core electronics live here. Coordinates are placeholders until Sheet 2 is finalized.</x:v>
      </x:c>
      <x:c r="B2" s="12"/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Raspberry Pi 4 Model B</x:v>
      </x:c>
      <x:c r="B5" s="29" t="str">
        <x:v>Central electronics bay; connectors face service-access side</x:v>
      </x:c>
      <x:c r="C5" s="35" t="str"/>
      <x:c r="D5" s="35" t="str"/>
      <x:c r="E5" s="35" t="str"/>
      <x:c r="F5" s="29" t="str">
        <x:v>Horizontal; GPIO accessible</x:v>
      </x:c>
      <x:c r="G5" s="29" t="str">
        <x:v>4 × mounting holes / standoffs</x:v>
      </x:c>
      <x:c r="H5" s="29" t="str">
        <x:v>Connector keep-outs from Sheet 1</x:v>
      </x:c>
      <x:c r="I5" s="29" t="str">
        <x:v>Keep camera CSI path accessible.</x:v>
      </x:c>
      <x:c r="K5" s="12" t="str">
        <x:v>Origin</x:v>
      </x:c>
      <x:c r="L5" s="12" t="str">
        <x:v>Module attachment/reference plane</x:v>
      </x:c>
      <x:c r="M5" t="str"/>
      <x:c r="N5" t="str"/>
    </x:row>
    <x:row r="6">
      <x:c r="A6" s="29" t="str">
        <x:v>L298N</x:v>
      </x:c>
      <x:c r="B6" s="29" t="str">
        <x:v>Near motor side/rear electronics area</x:v>
      </x:c>
      <x:c r="C6" s="35" t="str"/>
      <x:c r="D6" s="35" t="str"/>
      <x:c r="E6" s="35" t="str"/>
      <x:c r="F6" s="29" t="str">
        <x:v>Horizontal; terminals accessible</x:v>
      </x:c>
      <x:c r="G6" s="29" t="str">
        <x:v>Mounting holes / standoffs</x:v>
      </x:c>
      <x:c r="H6" s="29" t="str">
        <x:v>Heatsink + terminal clearance</x:v>
      </x:c>
      <x:c r="I6" s="29" t="str">
        <x:v>Keep high-current wiring short.</x:v>
      </x:c>
    </x:row>
    <x:row r="7">
      <x:c r="A7" s="29" t="str">
        <x:v>Battery</x:v>
      </x:c>
      <x:c r="B7" s="29" t="str">
        <x:v>Lowest central mass inside chassis</x:v>
      </x:c>
      <x:c r="C7" s="35" t="str"/>
      <x:c r="D7" s="35" t="str"/>
      <x:c r="E7" s="35" t="str"/>
      <x:c r="F7" s="29" t="str">
        <x:v>Flat; restrained</x:v>
      </x:c>
      <x:c r="G7" s="29" t="str">
        <x:v>Retaining strap/cage</x:v>
      </x:c>
      <x:c r="H7" s="29" t="str">
        <x:v>Removal path + cable exit</x:v>
      </x:c>
      <x:c r="I7" s="29" t="str">
        <x:v>Do not trap connector or switch.</x:v>
      </x:c>
    </x:row>
    <x:row r="8">
      <x:c r="A8" s="29" t="str">
        <x:v>MPU6050</x:v>
      </x:c>
      <x:c r="B8" s="29" t="str">
        <x:v>Near robot center; rigidly fixed</x:v>
      </x:c>
      <x:c r="C8" s="35" t="str"/>
      <x:c r="D8" s="35" t="str"/>
      <x:c r="E8" s="35" t="str"/>
      <x:c r="F8" s="29" t="str">
        <x:v>Known fixed axis</x:v>
      </x:c>
      <x:c r="G8" s="29" t="str">
        <x:v>Small standoffs/adhesive mount</x:v>
      </x:c>
      <x:c r="H8" s="29" t="str">
        <x:v>Avoid flexible panels</x:v>
      </x:c>
      <x:c r="I8" s="29" t="str">
        <x:v>Record orientation in software.</x:v>
      </x:c>
    </x:row>
    <x:row r="9">
      <x:c r="A9" s="29" t="str">
        <x:v>Left motor</x:v>
      </x:c>
      <x:c r="B9" s="29" t="str">
        <x:v>Left drive side</x:v>
      </x:c>
      <x:c r="C9" s="35" t="str"/>
      <x:c r="D9" s="35" t="str"/>
      <x:c r="E9" s="35" t="str"/>
      <x:c r="F9" s="29" t="str">
        <x:v>Shaft points outward</x:v>
      </x:c>
      <x:c r="G9" s="29" t="str">
        <x:v>Use imported generic motor bracket</x:v>
      </x:c>
      <x:c r="H9" s="29" t="str">
        <x:v>Full motor + wheel envelope</x:v>
      </x:c>
      <x:c r="I9" s="29" t="str">
        <x:v>Leave wire exit clear.</x:v>
      </x:c>
    </x:row>
    <x:row r="10">
      <x:c r="A10" s="29" t="str">
        <x:v>Right motor</x:v>
      </x:c>
      <x:c r="B10" s="29" t="str">
        <x:v>Right drive side</x:v>
      </x:c>
      <x:c r="C10" s="35" t="str"/>
      <x:c r="D10" s="35" t="str"/>
      <x:c r="E10" s="35" t="str"/>
      <x:c r="F10" s="29" t="str">
        <x:v>Shaft points outward</x:v>
      </x:c>
      <x:c r="G10" s="29" t="str">
        <x:v>Use imported generic motor bracket</x:v>
      </x:c>
      <x:c r="H10" s="29" t="str">
        <x:v>Full motor + wheel envelope</x:v>
      </x:c>
      <x:c r="I10" s="29" t="str">
        <x:v>Mirror interface where practical.</x:v>
      </x:c>
    </x:row>
    <x:row r="11">
      <x:c r="A11" s="29" t="str">
        <x:v>Left wheel</x:v>
      </x:c>
      <x:c r="B11" s="29" t="str">
        <x:v>Left drive wheel</x:v>
      </x:c>
      <x:c r="C11" s="35" t="str"/>
      <x:c r="D11" s="35" t="str"/>
      <x:c r="E11" s="35" t="str"/>
      <x:c r="F11" s="29" t="str">
        <x:v>Wheel axis lateral</x:v>
      </x:c>
      <x:c r="G11" s="29" t="str">
        <x:v>Motor shaft + hub</x:v>
      </x:c>
      <x:c r="H11" s="29" t="str">
        <x:v>Full rotation envelope</x:v>
      </x:c>
      <x:c r="I11" s="29" t="str">
        <x:v>No body rubbing.</x:v>
      </x:c>
    </x:row>
    <x:row r="12">
      <x:c r="A12" s="29" t="str">
        <x:v>Right wheel</x:v>
      </x:c>
      <x:c r="B12" s="29" t="str">
        <x:v>Right drive wheel</x:v>
      </x:c>
      <x:c r="C12" s="35" t="str"/>
      <x:c r="D12" s="35" t="str"/>
      <x:c r="E12" s="35" t="str"/>
      <x:c r="F12" s="29" t="str">
        <x:v>Wheel axis lateral</x:v>
      </x:c>
      <x:c r="G12" s="29" t="str">
        <x:v>Motor shaft + hub</x:v>
      </x:c>
      <x:c r="H12" s="29" t="str">
        <x:v>Full rotation envelope</x:v>
      </x:c>
      <x:c r="I12" s="29" t="str">
        <x:v>No body rubbing.</x:v>
      </x:c>
    </x:row>
    <x:row r="13">
      <x:c r="A13" s="29" t="str">
        <x:v>Caster</x:v>
      </x:c>
      <x:c r="B13" s="29" t="str">
        <x:v>Opposite the drive axle to create 3-point support; use an imported open-source caster model selected by requirements.</x:v>
      </x:c>
      <x:c r="C13" s="35"/>
      <x:c r="D13" s="35"/>
      <x:c r="E13" s="35"/>
      <x:c r="F13" s="29" t="str">
        <x:v>Vertical support</x:v>
      </x:c>
      <x:c r="G13" s="29" t="str">
        <x:v>Use mounting pattern from imported open-source CAD model</x:v>
      </x:c>
      <x:c r="H13" s="29" t="str">
        <x:v>Free swivel / ball movement</x:v>
      </x:c>
      <x:c r="I13" s="29" t="str">
        <x:v>No physical caster measurement required; CAD model is the source of truth.</x:v>
      </x:c>
    </x:row>
    <x:row r="14">
      <x:c r="A14" s="29" t="str">
        <x:v>Power switch</x:v>
      </x:c>
      <x:c r="B14" s="29" t="str">
        <x:v>Accessible outer wall; reachable without opening lid</x:v>
      </x:c>
      <x:c r="C14" s="35" t="str"/>
      <x:c r="D14" s="35" t="str"/>
      <x:c r="E14" s="35" t="str"/>
      <x:c r="F14" s="29" t="str">
        <x:v>Panel-mounted</x:v>
      </x:c>
      <x:c r="G14" s="29" t="str">
        <x:v>Cutout + retaining hardware</x:v>
      </x:c>
      <x:c r="H14" s="29" t="str">
        <x:v>Finger clearance</x:v>
      </x:c>
      <x:c r="I14" s="29" t="str">
        <x:v>Should disconnect motor power safely.</x:v>
      </x:c>
    </x:row>
    <x:row r="15">
      <x:c r="A15" s="29" t="str">
        <x:v>Buck/regulator</x:v>
      </x:c>
      <x:c r="B15" s="29" t="str">
        <x:v>Power bay near battery; away from sensors</x:v>
      </x:c>
      <x:c r="C15" s="35" t="str"/>
      <x:c r="D15" s="35" t="str"/>
      <x:c r="E15" s="35" t="str"/>
      <x:c r="F15" s="29" t="str">
        <x:v>Protected</x:v>
      </x:c>
      <x:c r="G15" s="29" t="str">
        <x:v>Mounting holes/standoffs</x:v>
      </x:c>
      <x:c r="H15" s="29" t="str">
        <x:v>Ventilation + terminal clearance</x:v>
      </x:c>
      <x:c r="I15" s="29" t="str">
        <x:v>Only if required by final power rails.</x:v>
      </x:c>
    </x:row>
    <x:row r="16">
      <x:c r="A16" s="29" t="str">
        <x:v>Future service space</x:v>
      </x:c>
      <x:c r="B16" s="29" t="str">
        <x:v>Reserved empty volume for wiring, audio, control electronics</x:v>
      </x:c>
      <x:c r="C16" s="35" t="str"/>
      <x:c r="D16" s="35" t="str"/>
      <x:c r="E16" s="35" t="str"/>
      <x:c r="F16" s="29" t="str">
        <x:v>N/A</x:v>
      </x:c>
      <x:c r="G16" s="29" t="str">
        <x:v>No fixed hardware</x:v>
      </x:c>
      <x:c r="H16" s="29" t="str">
        <x:v>Cable routing + service loops</x:v>
      </x:c>
      <x:c r="I16" s="29" t="str">
        <x:v>Do not consume this space with the first print.</x:v>
      </x:c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acbed887d6e240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2 — Head / Face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Detachable upper module carrying final-model perception, UI and audio hardware.</x:v>
      </x:c>
      <x:c r="B2" s="12"/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Pi Camera</x:v>
      </x:c>
      <x:c r="B5" s="29" t="str">
        <x:v>Front-facing perception camera</x:v>
      </x:c>
      <x:c r="C5" s="35" t="str"/>
      <x:c r="D5" s="35" t="str"/>
      <x:c r="E5" s="35" t="str"/>
      <x:c r="F5" s="29" t="str">
        <x:v>Lens facing forward; adjustable pitch</x:v>
      </x:c>
      <x:c r="G5" s="29" t="str">
        <x:v>Dedicated adjustable camera mount</x:v>
      </x:c>
      <x:c r="H5" s="29" t="str">
        <x:v>Lens + cable keep-out</x:v>
      </x:c>
      <x:c r="I5" s="29" t="str">
        <x:v>Route CSI cable with service loop.</x:v>
      </x:c>
      <x:c r="K5" s="12" t="str">
        <x:v>Origin</x:v>
      </x:c>
      <x:c r="L5" s="12" t="str">
        <x:v>Module attachment/reference plane</x:v>
      </x:c>
      <x:c r="M5" t="str"/>
      <x:c r="N5" t="str"/>
    </x:row>
    <x:row r="6">
      <x:c r="A6" s="29" t="str">
        <x:v>TFT display</x:v>
      </x:c>
      <x:c r="B6" s="29" t="str">
        <x:v>Front face/eyes facing user</x:v>
      </x:c>
      <x:c r="C6" s="35" t="str"/>
      <x:c r="D6" s="35" t="str"/>
      <x:c r="E6" s="35" t="str"/>
      <x:c r="F6" s="29" t="str">
        <x:v>Slight upward/user tilt</x:v>
      </x:c>
      <x:c r="G6" s="29" t="str">
        <x:v>Panel/frame mount</x:v>
      </x:c>
      <x:c r="H6" s="29" t="str">
        <x:v>Bezel + cable/button clearance</x:v>
      </x:c>
      <x:c r="I6" s="29" t="str">
        <x:v>Keep display removable.</x:v>
      </x:c>
    </x:row>
    <x:row r="7">
      <x:c r="A7" s="29" t="str">
        <x:v>Speaker</x:v>
      </x:c>
      <x:c r="B7" s="29" t="str">
        <x:v>Front/side acoustic opening</x:v>
      </x:c>
      <x:c r="C7" s="35" t="str"/>
      <x:c r="D7" s="35" t="str"/>
      <x:c r="E7" s="35" t="str"/>
      <x:c r="F7" s="29" t="str">
        <x:v>Speaker face outward</x:v>
      </x:c>
      <x:c r="G7" s="29" t="str">
        <x:v>Speaker bracket or printed cradle</x:v>
      </x:c>
      <x:c r="H7" s="29" t="str">
        <x:v>Front grille + acoustic clearance</x:v>
      </x:c>
      <x:c r="I7" s="29" t="str">
        <x:v>Avoid sealing rear if driver needs venting.</x:v>
      </x:c>
    </x:row>
    <x:row r="8">
      <x:c r="A8" s="29" t="str">
        <x:v>Microphone</x:v>
      </x:c>
      <x:c r="B8" s="29" t="str">
        <x:v>Front/upper face opening</x:v>
      </x:c>
      <x:c r="C8" s="35" t="str"/>
      <x:c r="D8" s="35" t="str"/>
      <x:c r="E8" s="35" t="str"/>
      <x:c r="F8" s="29" t="str">
        <x:v>Mic opening outward</x:v>
      </x:c>
      <x:c r="G8" s="29" t="str">
        <x:v>Small mount</x:v>
      </x:c>
      <x:c r="H8" s="29" t="str">
        <x:v>Acoustic opening + cable clearance</x:v>
      </x:c>
      <x:c r="I8" s="29" t="str">
        <x:v>Keep away from speaker path and motor noise.</x:v>
      </x:c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941cfda90f4049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3 — Front Sensor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Detachable front sensing module for MVP obstacle ranging.</x:v>
      </x:c>
      <x:c r="B2" s="12"/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HC-SR04</x:v>
      </x:c>
      <x:c r="B5" s="29" t="str">
        <x:v>Front-center obstacle ranging</x:v>
      </x:c>
      <x:c r="C5" s="35" t="str"/>
      <x:c r="D5" s="35" t="str"/>
      <x:c r="E5" s="35" t="str"/>
      <x:c r="F5" s="29" t="str">
        <x:v>Transducers horizontal and forward</x:v>
      </x:c>
      <x:c r="G5" s="29" t="str">
        <x:v>Detachable front bracket</x:v>
      </x:c>
      <x:c r="H5" s="29" t="str">
        <x:v>Full transducer protrusion + cable space</x:v>
      </x:c>
      <x:c r="I5" s="29" t="str">
        <x:v>Keep module replaceable for future sensor upgrade.</x:v>
      </x:c>
      <x:c r="K5" s="12" t="str">
        <x:v>Origin</x:v>
      </x:c>
      <x:c r="L5" s="12" t="str">
        <x:v>Module attachment/reference plane</x:v>
      </x:c>
      <x:c r="M5" t="str"/>
      <x:c r="N5" t="str"/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b13d91dcc7964e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4 — Edge Sensor Rail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Detachable underside module with three IR sensors for the MVP desk-edge safety system.</x:v>
      </x:c>
      <x:c r="B2" s="12"/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IR sensor — Left</x:v>
      </x:c>
      <x:c r="B5" s="29" t="str">
        <x:v>Front-left desk-edge detector</x:v>
      </x:c>
      <x:c r="C5" s="35" t="str"/>
      <x:c r="D5" s="35" t="str"/>
      <x:c r="E5" s="35" t="str"/>
      <x:c r="F5" s="29" t="str">
        <x:v>Optical axis downward</x:v>
      </x:c>
      <x:c r="G5" s="29" t="str">
        <x:v>Detachable rail/plate</x:v>
      </x:c>
      <x:c r="H5" s="29" t="str">
        <x:v>Lens/opening must see desk surface</x:v>
      </x:c>
      <x:c r="I5" s="29" t="str">
        <x:v>Leave wire channel into chassis.</x:v>
      </x:c>
      <x:c r="K5" s="12" t="str">
        <x:v>Origin</x:v>
      </x:c>
      <x:c r="L5" s="12" t="str">
        <x:v>Module attachment/reference plane</x:v>
      </x:c>
      <x:c r="M5" t="str"/>
      <x:c r="N5" t="str"/>
    </x:row>
    <x:row r="6">
      <x:c r="A6" s="29" t="str">
        <x:v>IR sensor — Center</x:v>
      </x:c>
      <x:c r="B6" s="29" t="str">
        <x:v>Front-center desk-edge detector</x:v>
      </x:c>
      <x:c r="C6" s="35" t="str"/>
      <x:c r="D6" s="35" t="str"/>
      <x:c r="E6" s="35" t="str"/>
      <x:c r="F6" s="29" t="str">
        <x:v>Optical axis downward</x:v>
      </x:c>
      <x:c r="G6" s="29" t="str">
        <x:v>Detachable rail/plate</x:v>
      </x:c>
      <x:c r="H6" s="29" t="str">
        <x:v>Lens/opening must see desk surface</x:v>
      </x:c>
      <x:c r="I6" s="29" t="str">
        <x:v>Redundant center coverage.</x:v>
      </x:c>
    </x:row>
    <x:row r="7">
      <x:c r="A7" s="29" t="str">
        <x:v>IR sensor — Right</x:v>
      </x:c>
      <x:c r="B7" s="29" t="str">
        <x:v>Front-right desk-edge detector</x:v>
      </x:c>
      <x:c r="C7" s="35" t="str"/>
      <x:c r="D7" s="35" t="str"/>
      <x:c r="E7" s="35" t="str"/>
      <x:c r="F7" s="29" t="str">
        <x:v>Optical axis downward</x:v>
      </x:c>
      <x:c r="G7" s="29" t="str">
        <x:v>Detachable rail/plate</x:v>
      </x:c>
      <x:c r="H7" s="29" t="str">
        <x:v>Lens/opening must see desk surface</x:v>
      </x:c>
      <x:c r="I7" s="29" t="str">
        <x:v>Mirror left where practical.</x:v>
      </x:c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b5b4af7d46614f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5 — Left Arm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Detachable left arm module: one servo plus printed linkage/arm.</x:v>
      </x:c>
      <x:c r="B2" s="12" t="str">
        <x:v>Detachable left arm module: one measured servo plus a custom 3D-printed linkage/arm. Arm geometry is derived/decided in Sheet 2; the printed arm itself is not a physical measurement item.</x:v>
      </x:c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Left servo</x:v>
      </x:c>
      <x:c r="B5" s="29" t="str">
        <x:v>Arm actuator at left side shoulder</x:v>
      </x:c>
      <x:c r="C5" s="35" t="str"/>
      <x:c r="D5" s="35" t="str"/>
      <x:c r="E5" s="35" t="str"/>
      <x:c r="F5" s="29" t="str">
        <x:v>Servo shaft axis fixed by design</x:v>
      </x:c>
      <x:c r="G5" s="29" t="str">
        <x:v>Servo mounting tabs/holes</x:v>
      </x:c>
      <x:c r="H5" s="29" t="str">
        <x:v>Full servo body + shaft clearance</x:v>
      </x:c>
      <x:c r="I5" s="29" t="str">
        <x:v>Keep connector accessible.</x:v>
      </x:c>
      <x:c r="K5" s="12" t="str">
        <x:v>Origin</x:v>
      </x:c>
      <x:c r="L5" s="12" t="str">
        <x:v>Module attachment/reference plane</x:v>
      </x:c>
      <x:c r="M5" t="str"/>
      <x:c r="N5" t="str"/>
    </x:row>
    <x:row r="6">
      <x:c r="A6" s="29" t="str">
        <x:v>Left arm/linkage</x:v>
      </x:c>
      <x:c r="B6" s="29" t="str">
        <x:v>Custom 3D-printed expressive arm attached to the servo</x:v>
      </x:c>
      <x:c r="C6" s="35"/>
      <x:c r="D6" s="35"/>
      <x:c r="E6" s="35"/>
      <x:c r="F6" s="29" t="str">
        <x:v>Initial pose toward front/outward; mirror/adapt for left side</x:v>
      </x:c>
      <x:c r="G6" s="29" t="str">
        <x:v>Servo horn + printed pivot interface</x:v>
      </x:c>
      <x:c r="H6" s="29" t="str">
        <x:v>Full CAD-derived swept envelope</x:v>
      </x:c>
      <x:c r="I6" s="29" t="str">
        <x:v>Replaceable printed part; no physical arm measurement required.</x:v>
      </x:c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7522e0f0c95942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34" hidden="0" customWidth="1"/>
    <x:col min="8" max="8" width="30" hidden="0" customWidth="1"/>
    <x:col min="9" max="9" width="32" hidden="0" customWidth="1"/>
  </x:cols>
  <x:sheetData>
    <x:row r="1" ht="28" customHeight="1">
      <x:c r="A1" s="48" t="str">
        <x:v>Module 6 — Right Arm</x:v>
      </x:c>
      <x:c r="B1" s="48"/>
      <x:c r="C1" s="48"/>
      <x:c r="D1" s="48"/>
      <x:c r="E1" s="48"/>
      <x:c r="F1" s="48"/>
      <x:c r="G1" s="48"/>
      <x:c r="H1" s="48"/>
      <x:c r="I1" s="48"/>
      <x:c r="K1" s="20" t="str">
        <x:v>LOCAL COORDINATE SYSTEM</x:v>
      </x:c>
      <x:c r="L1" s="20"/>
      <x:c r="M1" s="20"/>
      <x:c r="N1" s="20"/>
    </x:row>
    <x:row r="2" ht="34" customHeight="1">
      <x:c r="A2" s="12" t="str">
        <x:v>Detachable right arm module: one servo plus printed linkage/arm.</x:v>
      </x:c>
      <x:c r="B2" s="12" t="str">
        <x:v>Detachable right arm module: one measured servo plus a custom 3D-printed linkage/arm. Arm geometry is derived/decided in Sheet 2; the printed arm itself is not a physical measurement item.</x:v>
      </x:c>
      <x:c r="C2" s="12"/>
      <x:c r="D2" s="12"/>
      <x:c r="E2" s="12"/>
      <x:c r="F2" s="12"/>
      <x:c r="G2" s="12"/>
      <x:c r="H2" s="12"/>
      <x:c r="I2" s="12"/>
      <x:c r="K2" s="12" t="str">
        <x:v>X</x:v>
      </x:c>
      <x:c r="L2" s="12" t="str">
        <x:v>Forward</x:v>
      </x:c>
      <x:c r="M2" t="str"/>
      <x:c r="N2" t="str"/>
    </x:row>
    <x:row r="3">
      <x:c r="K3" s="12" t="str">
        <x:v>Y</x:v>
      </x:c>
      <x:c r="L3" s="12" t="str">
        <x:v>Left</x:v>
      </x:c>
      <x:c r="M3" t="str"/>
      <x:c r="N3" t="str"/>
    </x:row>
    <x:row r="4" ht="34" customHeight="1">
      <x:c r="A4" s="20" t="str">
        <x:v>Component</x:v>
      </x:c>
      <x:c r="B4" s="20" t="str">
        <x:v>Placement / role</x:v>
      </x:c>
      <x:c r="C4" s="20" t="str">
        <x:v>Local X</x:v>
      </x:c>
      <x:c r="D4" s="20" t="str">
        <x:v>Local Y</x:v>
      </x:c>
      <x:c r="E4" s="20" t="str">
        <x:v>Local Z</x:v>
      </x:c>
      <x:c r="F4" s="20" t="str">
        <x:v>Orientation</x:v>
      </x:c>
      <x:c r="G4" s="20" t="str">
        <x:v>Mounting / interface</x:v>
      </x:c>
      <x:c r="H4" s="20" t="str">
        <x:v>Keep-out / clearance</x:v>
      </x:c>
      <x:c r="I4" s="20" t="str">
        <x:v>Cable / service note</x:v>
      </x:c>
      <x:c r="K4" s="12" t="str">
        <x:v>Z</x:v>
      </x:c>
      <x:c r="L4" s="12" t="str">
        <x:v>Up</x:v>
      </x:c>
      <x:c r="M4" t="str"/>
      <x:c r="N4" t="str"/>
    </x:row>
    <x:row r="5">
      <x:c r="A5" s="29" t="str">
        <x:v>Right servo</x:v>
      </x:c>
      <x:c r="B5" s="29" t="str">
        <x:v>Arm actuator at right side shoulder</x:v>
      </x:c>
      <x:c r="C5" s="35" t="str"/>
      <x:c r="D5" s="35" t="str"/>
      <x:c r="E5" s="35" t="str"/>
      <x:c r="F5" s="29" t="str">
        <x:v>Mirror left servo orientation</x:v>
      </x:c>
      <x:c r="G5" s="29" t="str">
        <x:v>Servo mounting tabs/holes</x:v>
      </x:c>
      <x:c r="H5" s="29" t="str">
        <x:v>Full servo body + shaft clearance</x:v>
      </x:c>
      <x:c r="I5" s="29" t="str">
        <x:v>Keep connector accessible.</x:v>
      </x:c>
      <x:c r="K5" s="12" t="str">
        <x:v>Origin</x:v>
      </x:c>
      <x:c r="L5" s="12" t="str">
        <x:v>Module attachment/reference plane</x:v>
      </x:c>
      <x:c r="M5" t="str"/>
      <x:c r="N5" t="str"/>
    </x:row>
    <x:row r="6">
      <x:c r="A6" s="29" t="str">
        <x:v>Right arm/linkage</x:v>
      </x:c>
      <x:c r="B6" s="29" t="str">
        <x:v>Custom 3D-printed expressive arm attached to the servo</x:v>
      </x:c>
      <x:c r="C6" s="35"/>
      <x:c r="D6" s="35"/>
      <x:c r="E6" s="35"/>
      <x:c r="F6" s="29" t="str">
        <x:v>Initial pose toward front/outward; mirror/adapt for right side</x:v>
      </x:c>
      <x:c r="G6" s="29" t="str">
        <x:v>Servo horn + printed pivot interface</x:v>
      </x:c>
      <x:c r="H6" s="29" t="str">
        <x:v>Full CAD-derived swept envelope</x:v>
      </x:c>
      <x:c r="I6" s="29" t="str">
        <x:v>Replaceable printed part; no physical arm measurement required.</x:v>
      </x:c>
    </x:row>
  </x:sheetData>
  <x:mergeCells>
    <x:mergeCell ref="A1:I1"/>
    <x:mergeCell ref="A2:I2"/>
    <x:mergeCell ref="K1:N1"/>
  </x:mergeCells>
  <x:pageMargins left="0.7" right="0.7" top="0.75" bottom="0.75" header="0.3" footer="0.3"/>
  <x:tableParts count="1">
    <x:tablePart xmlns:r="http://schemas.openxmlformats.org/officeDocument/2006/relationships" r:id="R40c08cf9d7bf483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30" hidden="0" customWidth="1"/>
    <x:col min="5" max="5" width="28" hidden="0" customWidth="1"/>
    <x:col min="6" max="6" width="14" hidden="0" customWidth="1"/>
    <x:col min="7" max="7" width="28" hidden="0" customWidth="1"/>
    <x:col min="8" max="8" width="38" hidden="0" customWidth="1"/>
    <x:col min="9" max="9" width="14" hidden="0" customWidth="1"/>
  </x:cols>
  <x:sheetData>
    <x:row r="1" ht="28" customHeight="1">
      <x:c r="A1" s="48" t="str">
        <x:v>Final Model — Module Attachment Map</x:v>
      </x:c>
      <x:c r="B1" s="48"/>
      <x:c r="C1" s="48"/>
      <x:c r="D1" s="48"/>
      <x:c r="E1" s="48"/>
      <x:c r="F1" s="48"/>
      <x:c r="G1" s="48"/>
      <x:c r="H1" s="48"/>
      <x:c r="I1" s="48"/>
    </x:row>
    <x:row r="2" ht="34" customHeight="1">
      <x:c r="A2" s="12" t="str">
        <x:v>This is the master physical assembly map. Main chassis is the base; all other modules attach to it through explicit interfaces. Final X/Y/Z attachment coordinates are filled from Sheet 2 and the module sheets after the physical measurements are complete.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20" t="str">
        <x:v>Module</x:v>
      </x:c>
      <x:c r="B4" s="20" t="str">
        <x:v>Attach to main chassis at</x:v>
      </x:c>
      <x:c r="C4" s="20" t="str">
        <x:v>Primary attachment direction</x:v>
      </x:c>
      <x:c r="D4" s="20" t="str">
        <x:v>Interface</x:v>
      </x:c>
      <x:c r="E4" s="20" t="str">
        <x:v>Nominal attachment zone</x:v>
      </x:c>
      <x:c r="F4" s="20" t="str">
        <x:v>Removable?</x:v>
      </x:c>
      <x:c r="G4" s="20" t="str">
        <x:v>Services carried</x:v>
      </x:c>
      <x:c r="H4" s="20" t="str">
        <x:v>Mechanical constraints</x:v>
      </x:c>
      <x:c r="I4" s="20" t="str">
        <x:v>Final status</x:v>
      </x:c>
    </x:row>
    <x:row r="5">
      <x:c r="A5" s="29" t="str">
        <x:v>3_Main_Chassis</x:v>
      </x:c>
      <x:c r="B5" s="29" t="str">
        <x:v>Base chassis</x:v>
      </x:c>
      <x:c r="C5" s="29" t="str">
        <x:v>N/A</x:v>
      </x:c>
      <x:c r="D5" s="29" t="str">
        <x:v>Base structure / drive mounts</x:v>
      </x:c>
      <x:c r="E5" s="29" t="str">
        <x:v>Entire lower body</x:v>
      </x:c>
      <x:c r="F5" s="29" t="str">
        <x:v>No — base</x:v>
      </x:c>
      <x:c r="G5" s="29" t="str">
        <x:v>Power, compute, drive, IMU</x:v>
      </x:c>
      <x:c r="H5" s="29" t="str">
        <x:v>Low CG; wheels/caster clear</x:v>
      </x:c>
      <x:c r="I5" s="29" t="str">
        <x:v>Core</x:v>
      </x:c>
    </x:row>
    <x:row r="6">
      <x:c r="A6" s="29" t="str">
        <x:v>4_Head_Face</x:v>
      </x:c>
      <x:c r="B6" s="29" t="str">
        <x:v>Top-front of chassis</x:v>
      </x:c>
      <x:c r="C6" s="29" t="str">
        <x:v>Z upward</x:v>
      </x:c>
      <x:c r="D6" s="29" t="str">
        <x:v>Screw/quick-release mounting plate</x:v>
      </x:c>
      <x:c r="E6" s="29" t="str">
        <x:v>Centered over front half</x:v>
      </x:c>
      <x:c r="F6" s="29" t="str">
        <x:v>Yes</x:v>
      </x:c>
      <x:c r="G6" s="29" t="str">
        <x:v>CSI, audio, display power/data</x:v>
      </x:c>
      <x:c r="H6" s="29" t="str">
        <x:v>Must not block Pi service access or edge sensing</x:v>
      </x:c>
      <x:c r="I6" s="29" t="str">
        <x:v>Planned</x:v>
      </x:c>
    </x:row>
    <x:row r="7">
      <x:c r="A7" s="29" t="str">
        <x:v>5_Front_Sensor</x:v>
      </x:c>
      <x:c r="B7" s="29" t="str">
        <x:v>Front face / bumper zone</x:v>
      </x:c>
      <x:c r="C7" s="29" t="str">
        <x:v>X forward</x:v>
      </x:c>
      <x:c r="D7" s="29" t="str">
        <x:v>Two/three-hole bracket or printed interface</x:v>
      </x:c>
      <x:c r="E7" s="29" t="str">
        <x:v>Front center</x:v>
      </x:c>
      <x:c r="F7" s="29" t="str">
        <x:v>Yes</x:v>
      </x:c>
      <x:c r="G7" s="29" t="str">
        <x:v>HC-SR04 signal/power</x:v>
      </x:c>
      <x:c r="H7" s="29" t="str">
        <x:v>Transducers unobstructed; replaceable</x:v>
      </x:c>
      <x:c r="I7" s="29" t="str">
        <x:v>Planned</x:v>
      </x:c>
    </x:row>
    <x:row r="8">
      <x:c r="A8" s="29" t="str">
        <x:v>6_Edge_Sensor</x:v>
      </x:c>
      <x:c r="B8" s="29" t="str">
        <x:v>Underside/front lower edge</x:v>
      </x:c>
      <x:c r="C8" s="29" t="str">
        <x:v>Z downward</x:v>
      </x:c>
      <x:c r="D8" s="29" t="str">
        <x:v>Detachable rail/plate</x:v>
      </x:c>
      <x:c r="E8" s="29" t="str">
        <x:v>Front underside</x:v>
      </x:c>
      <x:c r="F8" s="29" t="str">
        <x:v>Yes</x:v>
      </x:c>
      <x:c r="G8" s="29" t="str">
        <x:v>3 × IR sensor signals/power</x:v>
      </x:c>
      <x:c r="H8" s="29" t="str">
        <x:v>Sensors must see deck surface; keep above strike zone</x:v>
      </x:c>
      <x:c r="I8" s="29" t="str">
        <x:v>Planned</x:v>
      </x:c>
    </x:row>
    <x:row r="9">
      <x:c r="A9" s="29" t="str">
        <x:v>7_Left_Arm</x:v>
      </x:c>
      <x:c r="B9" s="29" t="str">
        <x:v>Left side shoulder</x:v>
      </x:c>
      <x:c r="C9" s="29" t="str">
        <x:v>Y left / outward</x:v>
      </x:c>
      <x:c r="D9" s="29" t="str">
        <x:v>Servo mounting interface</x:v>
      </x:c>
      <x:c r="E9" s="29" t="str">
        <x:v>Upper-left side of chassis</x:v>
      </x:c>
      <x:c r="F9" s="29" t="str">
        <x:v>Yes</x:v>
      </x:c>
      <x:c r="G9" s="29" t="str">
        <x:v>Servo power/control</x:v>
      </x:c>
      <x:c r="H9" s="29" t="str">
        <x:v>Full sweep must clear wheel, desk and head</x:v>
      </x:c>
      <x:c r="I9" s="29" t="str">
        <x:v>Planned</x:v>
      </x:c>
    </x:row>
    <x:row r="10">
      <x:c r="A10" s="29" t="str">
        <x:v>8_Right_Arm</x:v>
      </x:c>
      <x:c r="B10" s="29" t="str">
        <x:v>Right side shoulder</x:v>
      </x:c>
      <x:c r="C10" s="29" t="str">
        <x:v>Y right / outward</x:v>
      </x:c>
      <x:c r="D10" s="29" t="str">
        <x:v>Servo mounting interface</x:v>
      </x:c>
      <x:c r="E10" s="29" t="str">
        <x:v>Upper-right side of chassis</x:v>
      </x:c>
      <x:c r="F10" s="29" t="str">
        <x:v>Yes</x:v>
      </x:c>
      <x:c r="G10" s="29" t="str">
        <x:v>Servo power/control</x:v>
      </x:c>
      <x:c r="H10" s="29" t="str">
        <x:v>Mirror left arm where practical</x:v>
      </x:c>
      <x:c r="I10" s="29" t="str">
        <x:v>Planned</x:v>
      </x:c>
    </x:row>
    <x:row r="13">
      <x:c r="A13" s="44" t="str">
        <x:v>Recommended physical assembly order</x:v>
      </x:c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29" t="str">
        <x:v>1</x:v>
      </x:c>
      <x:c r="B14" s="29" t="str">
        <x:v>Main chassis</x:v>
      </x:c>
      <x:c r="C14" s="29" t="str">
        <x:v>Print/assemble drive base first</x:v>
      </x:c>
      <x:c r="D14" s="29" t="str"/>
      <x:c r="E14" s="29" t="str"/>
      <x:c r="F14" s="29" t="str"/>
      <x:c r="G14" s="29" t="str"/>
      <x:c r="H14" s="29" t="str"/>
      <x:c r="I14" s="29" t="str"/>
    </x:row>
    <x:row r="15">
      <x:c r="A15" s="29" t="str">
        <x:v>2</x:v>
      </x:c>
      <x:c r="B15" s="29" t="str">
        <x:v>Edge Sensor</x:v>
      </x:c>
      <x:c r="C15" s="29" t="str">
        <x:v>Attach underside rail before sealing chassis</x:v>
      </x:c>
      <x:c r="D15" s="29" t="str"/>
      <x:c r="E15" s="29" t="str"/>
      <x:c r="F15" s="29" t="str"/>
      <x:c r="G15" s="29" t="str"/>
      <x:c r="H15" s="29" t="str"/>
      <x:c r="I15" s="29" t="str"/>
    </x:row>
    <x:row r="16">
      <x:c r="A16" s="29" t="str">
        <x:v>3</x:v>
      </x:c>
      <x:c r="B16" s="29" t="str">
        <x:v>Front Sensor</x:v>
      </x:c>
      <x:c r="C16" s="29" t="str">
        <x:v>Attach front sensor bracket</x:v>
      </x:c>
      <x:c r="D16" s="29" t="str"/>
      <x:c r="E16" s="29" t="str"/>
      <x:c r="F16" s="29" t="str"/>
      <x:c r="G16" s="29" t="str"/>
      <x:c r="H16" s="29" t="str"/>
      <x:c r="I16" s="29" t="str"/>
    </x:row>
    <x:row r="17">
      <x:c r="A17" s="29" t="str">
        <x:v>4</x:v>
      </x:c>
      <x:c r="B17" s="29" t="str">
        <x:v>Head/Face</x:v>
      </x:c>
      <x:c r="C17" s="29" t="str">
        <x:v>Attach upper module after internal wiring is complete</x:v>
      </x:c>
      <x:c r="D17" s="29" t="str"/>
      <x:c r="E17" s="29" t="str"/>
      <x:c r="F17" s="29" t="str"/>
      <x:c r="G17" s="29" t="str"/>
      <x:c r="H17" s="29" t="str"/>
      <x:c r="I17" s="29" t="str"/>
    </x:row>
    <x:row r="18">
      <x:c r="A18" s="29" t="str">
        <x:v>5</x:v>
      </x:c>
      <x:c r="B18" s="29" t="str">
        <x:v>Left + Right Arms</x:v>
      </x:c>
      <x:c r="C18" s="29" t="str">
        <x:v>Attach servo modules after head is installed</x:v>
      </x:c>
      <x:c r="D18" s="29" t="str"/>
      <x:c r="E18" s="29" t="str"/>
      <x:c r="F18" s="29" t="str"/>
      <x:c r="G18" s="29" t="str"/>
      <x:c r="H18" s="29" t="str"/>
      <x:c r="I18" s="29" t="str"/>
    </x:row>
    <x:row r="19">
      <x:c r="A19" s="29" t="str">
        <x:v>6</x:v>
      </x:c>
      <x:c r="B19" s="29" t="str">
        <x:v>Final checks</x:v>
      </x:c>
      <x:c r="C19" s="29" t="str">
        <x:v>Verify wheel sweep, cable clearance, service access and sensor visibility</x:v>
      </x:c>
      <x:c r="D19" s="29" t="str"/>
      <x:c r="E19" s="29" t="str"/>
      <x:c r="F19" s="29" t="str"/>
      <x:c r="G19" s="29" t="str"/>
      <x:c r="H19" s="29" t="str"/>
      <x:c r="I19" s="29" t="str"/>
    </x:row>
  </x:sheetData>
  <x:mergeCells>
    <x:mergeCell ref="A1:I1"/>
    <x:mergeCell ref="A2:I2"/>
    <x:mergeCell ref="A13:I13"/>
  </x:mergeCells>
  <x:dataValidations count="1">
    <x:dataValidation type="list" sqref="I5:I10">
      <x:formula1>"Core,Planned,Finalized"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19a0d66ab54982"/>
  </x:tableParts>
</x:worksheet>
</file>